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schatheissen/Library/CloudStorage/Dropbox/Doks/Eigene Dateien Sascha/Coding/Gartenfreunde/Daten/Echte Daten/"/>
    </mc:Choice>
  </mc:AlternateContent>
  <xr:revisionPtr revIDLastSave="0" documentId="13_ncr:1_{F009AC4C-3E2F-864E-B603-472DA1718BB6}" xr6:coauthVersionLast="47" xr6:coauthVersionMax="47" xr10:uidLastSave="{00000000-0000-0000-0000-000000000000}"/>
  <bookViews>
    <workbookView xWindow="160" yWindow="660" windowWidth="38160" windowHeight="29480" tabRatio="744" xr2:uid="{00000000-000D-0000-FFFF-FFFF00000000}"/>
  </bookViews>
  <sheets>
    <sheet name="JR 2024-2025" sheetId="13" r:id="rId1"/>
    <sheet name="ENBW 2024" sheetId="25" r:id="rId2"/>
    <sheet name="Tabelle4" sheetId="27" r:id="rId3"/>
    <sheet name="Ausrechnen Tage " sheetId="26" r:id="rId4"/>
    <sheet name="Tabelle1" sheetId="23" r:id="rId5"/>
    <sheet name="ENBW 2022" sheetId="24" r:id="rId6"/>
    <sheet name="ENBW 2018" sheetId="17" r:id="rId7"/>
    <sheet name="ENBW 2019" sheetId="18" r:id="rId8"/>
    <sheet name="ENBW 2020" sheetId="20" r:id="rId9"/>
    <sheet name="TAGE " sheetId="19" r:id="rId10"/>
    <sheet name="ENBW 2021" sheetId="21" r:id="rId11"/>
    <sheet name="ENBW 2023" sheetId="22" r:id="rId12"/>
  </sheets>
  <definedNames>
    <definedName name="_xlnm._FilterDatabase" localSheetId="0" hidden="1">'JR 2024-2025'!$D$1:$BQ$154</definedName>
    <definedName name="_xlnm.Print_Area" localSheetId="0">'JR 2024-2025'!$A$1:$BQ$154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75" i="13" l="1"/>
  <c r="BS2" i="13"/>
  <c r="BS3" i="13" s="1"/>
  <c r="BS4" i="13" s="1"/>
  <c r="BS5" i="13" s="1"/>
  <c r="BS6" i="13" s="1"/>
  <c r="BS7" i="13" s="1"/>
  <c r="BS8" i="13" s="1"/>
  <c r="BS9" i="13" s="1"/>
  <c r="BS10" i="13" s="1"/>
  <c r="BS11" i="13" s="1"/>
  <c r="BS12" i="13" s="1"/>
  <c r="BS13" i="13" s="1"/>
  <c r="BS14" i="13" s="1"/>
  <c r="BS15" i="13" s="1"/>
  <c r="BS16" i="13" s="1"/>
  <c r="BS17" i="13" s="1"/>
  <c r="BS18" i="13" s="1"/>
  <c r="BR154" i="13"/>
  <c r="BR153" i="13"/>
  <c r="BR152" i="13"/>
  <c r="BR151" i="13"/>
  <c r="BR150" i="13"/>
  <c r="BR149" i="13"/>
  <c r="BR148" i="13"/>
  <c r="BR147" i="13"/>
  <c r="BR146" i="13"/>
  <c r="BR145" i="13"/>
  <c r="BR144" i="13"/>
  <c r="BR143" i="13"/>
  <c r="BR142" i="13"/>
  <c r="BR141" i="13"/>
  <c r="BR140" i="13"/>
  <c r="BR139" i="13"/>
  <c r="BR138" i="13"/>
  <c r="BR137" i="13"/>
  <c r="BR136" i="13"/>
  <c r="BR135" i="13"/>
  <c r="BR134" i="13"/>
  <c r="BR133" i="13"/>
  <c r="BR132" i="13"/>
  <c r="BR131" i="13"/>
  <c r="BR130" i="13"/>
  <c r="BR129" i="13"/>
  <c r="BR128" i="13"/>
  <c r="BR127" i="13"/>
  <c r="BR126" i="13"/>
  <c r="BR125" i="13"/>
  <c r="BR124" i="13"/>
  <c r="BR123" i="13"/>
  <c r="BR122" i="13"/>
  <c r="BR121" i="13"/>
  <c r="BR120" i="13"/>
  <c r="BR119" i="13"/>
  <c r="BR118" i="13"/>
  <c r="BR117" i="13"/>
  <c r="BR116" i="13"/>
  <c r="BR115" i="13"/>
  <c r="BR114" i="13"/>
  <c r="BR113" i="13"/>
  <c r="BR112" i="13"/>
  <c r="BR111" i="13"/>
  <c r="BR110" i="13"/>
  <c r="BR109" i="13"/>
  <c r="BR108" i="13"/>
  <c r="BR107" i="13"/>
  <c r="BR106" i="13"/>
  <c r="BR105" i="13"/>
  <c r="BR104" i="13"/>
  <c r="BR103" i="13"/>
  <c r="BR102" i="13"/>
  <c r="BR101" i="13"/>
  <c r="BR100" i="13"/>
  <c r="BR99" i="13"/>
  <c r="BR98" i="13"/>
  <c r="BR97" i="13"/>
  <c r="BR96" i="13"/>
  <c r="BR95" i="13"/>
  <c r="BR94" i="13"/>
  <c r="BR93" i="13"/>
  <c r="BR92" i="13"/>
  <c r="BR91" i="13"/>
  <c r="BR90" i="13"/>
  <c r="BR89" i="13"/>
  <c r="BR88" i="13"/>
  <c r="BR87" i="13"/>
  <c r="BR86" i="13"/>
  <c r="BR85" i="13"/>
  <c r="BR84" i="13"/>
  <c r="BR83" i="13"/>
  <c r="BR82" i="13"/>
  <c r="BR81" i="13"/>
  <c r="BR80" i="13"/>
  <c r="BR79" i="13"/>
  <c r="BR78" i="13"/>
  <c r="BR77" i="13"/>
  <c r="BR76" i="13"/>
  <c r="BR75" i="13"/>
  <c r="BR74" i="13"/>
  <c r="BR73" i="13"/>
  <c r="BR72" i="13"/>
  <c r="BR71" i="13"/>
  <c r="BR70" i="13"/>
  <c r="BR69" i="13"/>
  <c r="BR68" i="13"/>
  <c r="BR67" i="13"/>
  <c r="BR66" i="13"/>
  <c r="BR65" i="13"/>
  <c r="BR64" i="13"/>
  <c r="BR63" i="13"/>
  <c r="BR62" i="13"/>
  <c r="BR61" i="13"/>
  <c r="BR60" i="13"/>
  <c r="BR59" i="13"/>
  <c r="BR58" i="13"/>
  <c r="BR57" i="13"/>
  <c r="BR56" i="13"/>
  <c r="BR55" i="13"/>
  <c r="BR54" i="13"/>
  <c r="BR53" i="13"/>
  <c r="BR52" i="13"/>
  <c r="BR51" i="13"/>
  <c r="BR50" i="13"/>
  <c r="BR49" i="13"/>
  <c r="BR48" i="13"/>
  <c r="BR47" i="13"/>
  <c r="BR46" i="13"/>
  <c r="BR45" i="13"/>
  <c r="BR44" i="13"/>
  <c r="BR43" i="13"/>
  <c r="BR42" i="13"/>
  <c r="BR41" i="13"/>
  <c r="BR40" i="13"/>
  <c r="BR39" i="13"/>
  <c r="BR38" i="13"/>
  <c r="BR37" i="13"/>
  <c r="BR36" i="13"/>
  <c r="BR35" i="13"/>
  <c r="BR34" i="13"/>
  <c r="BR33" i="13"/>
  <c r="BR32" i="13"/>
  <c r="BR31" i="13"/>
  <c r="BR30" i="13"/>
  <c r="BR29" i="13"/>
  <c r="BR28" i="13"/>
  <c r="BR27" i="13"/>
  <c r="BR26" i="13"/>
  <c r="BR25" i="13"/>
  <c r="BR24" i="13"/>
  <c r="BR23" i="13"/>
  <c r="BR22" i="13"/>
  <c r="BR21" i="13"/>
  <c r="BR20" i="13"/>
  <c r="BR19" i="13"/>
  <c r="BR18" i="13"/>
  <c r="BR17" i="13"/>
  <c r="BR16" i="13"/>
  <c r="BR15" i="13"/>
  <c r="BR14" i="13"/>
  <c r="BR13" i="13"/>
  <c r="BR12" i="13"/>
  <c r="BR11" i="13"/>
  <c r="BR10" i="13"/>
  <c r="BR9" i="13"/>
  <c r="BR8" i="13"/>
  <c r="BR7" i="13"/>
  <c r="BR6" i="13"/>
  <c r="BR5" i="13"/>
  <c r="BR4" i="13"/>
  <c r="BR3" i="13"/>
  <c r="BR2" i="13"/>
  <c r="AL12" i="13"/>
  <c r="AO12" i="13" s="1"/>
  <c r="AP12" i="13" s="1"/>
  <c r="BN12" i="13" s="1"/>
  <c r="AW138" i="13"/>
  <c r="AV138" i="13"/>
  <c r="AL138" i="13"/>
  <c r="AO138" i="13" s="1"/>
  <c r="AP138" i="13" s="1"/>
  <c r="BS19" i="13" l="1"/>
  <c r="BS20" i="13" s="1"/>
  <c r="BS21" i="13" s="1"/>
  <c r="BS22" i="13" s="1"/>
  <c r="BS23" i="13" s="1"/>
  <c r="BS24" i="13" s="1"/>
  <c r="BS25" i="13" s="1"/>
  <c r="BS26" i="13" s="1"/>
  <c r="BS27" i="13" s="1"/>
  <c r="BS28" i="13" s="1"/>
  <c r="BS29" i="13" s="1"/>
  <c r="BS30" i="13" s="1"/>
  <c r="BS31" i="13" s="1"/>
  <c r="BS32" i="13" s="1"/>
  <c r="BS33" i="13" s="1"/>
  <c r="BS34" i="13" s="1"/>
  <c r="BS35" i="13" s="1"/>
  <c r="BN138" i="13"/>
  <c r="AW75" i="13"/>
  <c r="AV75" i="13"/>
  <c r="BS36" i="13" l="1"/>
  <c r="BS37" i="13" s="1"/>
  <c r="BS38" i="13" s="1"/>
  <c r="BS39" i="13" s="1"/>
  <c r="BS40" i="13" s="1"/>
  <c r="BS41" i="13" s="1"/>
  <c r="BS42" i="13" s="1"/>
  <c r="BS43" i="13" s="1"/>
  <c r="BS44" i="13" s="1"/>
  <c r="BS45" i="13" s="1"/>
  <c r="BS46" i="13" s="1"/>
  <c r="BS47" i="13" s="1"/>
  <c r="BS48" i="13" s="1"/>
  <c r="BS49" i="13" s="1"/>
  <c r="BS50" i="13" s="1"/>
  <c r="BS51" i="13" s="1"/>
  <c r="BN75" i="13"/>
  <c r="BL135" i="13"/>
  <c r="BS52" i="13" l="1"/>
  <c r="BS53" i="13" s="1"/>
  <c r="BS54" i="13" s="1"/>
  <c r="BS55" i="13" s="1"/>
  <c r="BS56" i="13" s="1"/>
  <c r="BS57" i="13" s="1"/>
  <c r="BS58" i="13" s="1"/>
  <c r="BS59" i="13" s="1"/>
  <c r="BS60" i="13" s="1"/>
  <c r="BS61" i="13" s="1"/>
  <c r="BS62" i="13" s="1"/>
  <c r="BN84" i="13"/>
  <c r="AO137" i="13"/>
  <c r="AP137" i="13" s="1"/>
  <c r="AL2" i="13"/>
  <c r="L20" i="25"/>
  <c r="G18" i="25"/>
  <c r="BS63" i="13" l="1"/>
  <c r="BS64" i="13" s="1"/>
  <c r="BS65" i="13" s="1"/>
  <c r="BS66" i="13" s="1"/>
  <c r="BS67" i="13" s="1"/>
  <c r="BS68" i="13" s="1"/>
  <c r="BS69" i="13" s="1"/>
  <c r="BS70" i="13" s="1"/>
  <c r="BS71" i="13" s="1"/>
  <c r="BS72" i="13" s="1"/>
  <c r="BS73" i="13" s="1"/>
  <c r="BS74" i="13" s="1"/>
  <c r="BS76" i="13" s="1"/>
  <c r="BS77" i="13" s="1"/>
  <c r="BS78" i="13" s="1"/>
  <c r="BS79" i="13" s="1"/>
  <c r="BS80" i="13" s="1"/>
  <c r="BS81" i="13" s="1"/>
  <c r="BS82" i="13" s="1"/>
  <c r="BS83" i="13" s="1"/>
  <c r="BS84" i="13" s="1"/>
  <c r="BS85" i="13" s="1"/>
  <c r="BS86" i="13" s="1"/>
  <c r="BS87" i="13" s="1"/>
  <c r="BS88" i="13" s="1"/>
  <c r="BS89" i="13" s="1"/>
  <c r="BS90" i="13" s="1"/>
  <c r="BS91" i="13" s="1"/>
  <c r="BS92" i="13" s="1"/>
  <c r="BS93" i="13" s="1"/>
  <c r="BS94" i="13" s="1"/>
  <c r="BS95" i="13" s="1"/>
  <c r="BS96" i="13" s="1"/>
  <c r="BS97" i="13" s="1"/>
  <c r="BS98" i="13" s="1"/>
  <c r="BS99" i="13" s="1"/>
  <c r="BS100" i="13" s="1"/>
  <c r="BS101" i="13" s="1"/>
  <c r="BS102" i="13" s="1"/>
  <c r="BS103" i="13" s="1"/>
  <c r="BS104" i="13" s="1"/>
  <c r="BS105" i="13" s="1"/>
  <c r="BS106" i="13" s="1"/>
  <c r="BS107" i="13" s="1"/>
  <c r="BS108" i="13" s="1"/>
  <c r="BS109" i="13" s="1"/>
  <c r="BS110" i="13" s="1"/>
  <c r="BS111" i="13" s="1"/>
  <c r="BS112" i="13" s="1"/>
  <c r="BS113" i="13" s="1"/>
  <c r="BS114" i="13" s="1"/>
  <c r="BS115" i="13" s="1"/>
  <c r="BS116" i="13" s="1"/>
  <c r="BS117" i="13" s="1"/>
  <c r="BS118" i="13" s="1"/>
  <c r="BS119" i="13" s="1"/>
  <c r="BS120" i="13" s="1"/>
  <c r="BS121" i="13" s="1"/>
  <c r="BS122" i="13" s="1"/>
  <c r="BS123" i="13" s="1"/>
  <c r="BS124" i="13" s="1"/>
  <c r="BS125" i="13" s="1"/>
  <c r="BS126" i="13" s="1"/>
  <c r="BS127" i="13" s="1"/>
  <c r="BS128" i="13" s="1"/>
  <c r="BS129" i="13" s="1"/>
  <c r="BS130" i="13" s="1"/>
  <c r="BS131" i="13" s="1"/>
  <c r="BS132" i="13" s="1"/>
  <c r="BS133" i="13" s="1"/>
  <c r="BS134" i="13" s="1"/>
  <c r="BS135" i="13" s="1"/>
  <c r="BS136" i="13" s="1"/>
  <c r="BS137" i="13" s="1"/>
  <c r="BS138" i="13" s="1"/>
  <c r="BS139" i="13" s="1"/>
  <c r="BS140" i="13" s="1"/>
  <c r="BS141" i="13" s="1"/>
  <c r="BS142" i="13" s="1"/>
  <c r="BS143" i="13" s="1"/>
  <c r="BS144" i="13" s="1"/>
  <c r="BS145" i="13" s="1"/>
  <c r="BS146" i="13" s="1"/>
  <c r="BS147" i="13" s="1"/>
  <c r="BS148" i="13" s="1"/>
  <c r="BS149" i="13" s="1"/>
  <c r="BS150" i="13" s="1"/>
  <c r="BS151" i="13" s="1"/>
  <c r="BS152" i="13" s="1"/>
  <c r="BS153" i="13" s="1"/>
  <c r="BS154" i="13" s="1"/>
  <c r="AO2" i="13"/>
  <c r="AP2" i="13" s="1"/>
  <c r="AA5" i="25"/>
  <c r="BB170" i="13" s="1"/>
  <c r="AW142" i="13" l="1"/>
  <c r="AV142" i="13"/>
  <c r="AW139" i="13"/>
  <c r="AV139" i="13"/>
  <c r="AV62" i="13"/>
  <c r="AW62" i="13"/>
  <c r="AW52" i="13"/>
  <c r="AV52" i="13"/>
  <c r="AW47" i="13"/>
  <c r="AV47" i="13"/>
  <c r="AW27" i="13"/>
  <c r="AV27" i="13"/>
  <c r="AW22" i="13"/>
  <c r="AV22" i="13"/>
  <c r="AW36" i="13" l="1"/>
  <c r="AV36" i="13"/>
  <c r="AW63" i="13"/>
  <c r="AV63" i="13"/>
  <c r="AV50" i="13"/>
  <c r="AW50" i="13"/>
  <c r="AW18" i="13"/>
  <c r="AV18" i="13"/>
  <c r="AW141" i="13"/>
  <c r="AV141" i="13"/>
  <c r="AW137" i="13"/>
  <c r="AW108" i="13"/>
  <c r="AV108" i="13"/>
  <c r="AW81" i="13"/>
  <c r="AV81" i="13"/>
  <c r="AW72" i="13"/>
  <c r="AV72" i="13"/>
  <c r="AW15" i="13"/>
  <c r="AW6" i="13"/>
  <c r="AV7" i="13"/>
  <c r="AV6" i="13"/>
  <c r="AV5" i="13"/>
  <c r="AW66" i="13"/>
  <c r="AW20" i="13"/>
  <c r="AV137" i="13"/>
  <c r="AV66" i="13"/>
  <c r="AV20" i="13"/>
  <c r="AV15" i="13"/>
  <c r="AZ137" i="13"/>
  <c r="AZ66" i="13"/>
  <c r="AZ20" i="13"/>
  <c r="AZ15" i="13"/>
  <c r="BJ109" i="13"/>
  <c r="BJ120" i="13"/>
  <c r="BN137" i="13" l="1"/>
  <c r="BN20" i="13"/>
  <c r="BN36" i="13"/>
  <c r="BN66" i="13"/>
  <c r="G7" i="25"/>
  <c r="D20" i="25"/>
  <c r="J17" i="26"/>
  <c r="K17" i="26"/>
  <c r="L17" i="26"/>
  <c r="K14" i="26"/>
  <c r="G19" i="25"/>
  <c r="G20" i="25" s="1"/>
  <c r="I17" i="26"/>
  <c r="G68" i="25"/>
  <c r="C68" i="25"/>
  <c r="G44" i="25"/>
  <c r="G42" i="25"/>
  <c r="I40" i="25"/>
  <c r="L40" i="25" s="1"/>
  <c r="G40" i="25"/>
  <c r="O40" i="25" s="1"/>
  <c r="Q40" i="25" s="1"/>
  <c r="P39" i="25"/>
  <c r="G39" i="25"/>
  <c r="O39" i="25" s="1"/>
  <c r="Q39" i="25" s="1"/>
  <c r="D39" i="25"/>
  <c r="I39" i="25" s="1"/>
  <c r="L39" i="25" s="1"/>
  <c r="G35" i="25"/>
  <c r="O35" i="25" s="1"/>
  <c r="Q35" i="25" s="1"/>
  <c r="I34" i="25"/>
  <c r="L34" i="25" s="1"/>
  <c r="G34" i="25"/>
  <c r="O34" i="25" s="1"/>
  <c r="Q34" i="25" s="1"/>
  <c r="G33" i="25"/>
  <c r="D33" i="25"/>
  <c r="D35" i="25" s="1"/>
  <c r="I35" i="25" s="1"/>
  <c r="L35" i="25" s="1"/>
  <c r="G30" i="25"/>
  <c r="O30" i="25" s="1"/>
  <c r="Q30" i="25" s="1"/>
  <c r="D30" i="25"/>
  <c r="P29" i="25"/>
  <c r="G29" i="25"/>
  <c r="D29" i="25"/>
  <c r="I29" i="25" s="1"/>
  <c r="D27" i="25"/>
  <c r="I25" i="25"/>
  <c r="I27" i="25" s="1"/>
  <c r="G25" i="25"/>
  <c r="G27" i="25" s="1"/>
  <c r="T15" i="25"/>
  <c r="P14" i="25"/>
  <c r="G14" i="25"/>
  <c r="O14" i="25" s="1"/>
  <c r="Q14" i="25" s="1"/>
  <c r="D14" i="25"/>
  <c r="P13" i="25"/>
  <c r="Q13" i="25" s="1"/>
  <c r="M13" i="25"/>
  <c r="G13" i="25"/>
  <c r="G15" i="25" s="1"/>
  <c r="D13" i="25"/>
  <c r="I13" i="25" s="1"/>
  <c r="L13" i="25" s="1"/>
  <c r="G9" i="25"/>
  <c r="G11" i="25" s="1"/>
  <c r="D9" i="25"/>
  <c r="D11" i="25" s="1"/>
  <c r="AL38" i="13"/>
  <c r="AO38" i="13" s="1"/>
  <c r="AP38" i="13" s="1"/>
  <c r="AL3" i="13"/>
  <c r="AL4" i="13"/>
  <c r="AO4" i="13" s="1"/>
  <c r="AP4" i="13" s="1"/>
  <c r="BN4" i="13" s="1"/>
  <c r="AL5" i="13"/>
  <c r="AO5" i="13" s="1"/>
  <c r="AP5" i="13" s="1"/>
  <c r="AL6" i="13"/>
  <c r="AO6" i="13" s="1"/>
  <c r="AP6" i="13" s="1"/>
  <c r="AL7" i="13"/>
  <c r="AO7" i="13" s="1"/>
  <c r="AP7" i="13" s="1"/>
  <c r="AL8" i="13"/>
  <c r="AO8" i="13" s="1"/>
  <c r="AP8" i="13" s="1"/>
  <c r="BN8" i="13" s="1"/>
  <c r="AL9" i="13"/>
  <c r="AO9" i="13" s="1"/>
  <c r="AP9" i="13" s="1"/>
  <c r="AL10" i="13"/>
  <c r="AO10" i="13" s="1"/>
  <c r="AP10" i="13" s="1"/>
  <c r="AL11" i="13"/>
  <c r="AO11" i="13" s="1"/>
  <c r="AP11" i="13" s="1"/>
  <c r="BN11" i="13" s="1"/>
  <c r="AL13" i="13"/>
  <c r="AO13" i="13" s="1"/>
  <c r="AP13" i="13" s="1"/>
  <c r="AL14" i="13"/>
  <c r="AO14" i="13" s="1"/>
  <c r="AP14" i="13" s="1"/>
  <c r="AL15" i="13"/>
  <c r="AO15" i="13" s="1"/>
  <c r="AP15" i="13" s="1"/>
  <c r="BN15" i="13" s="1"/>
  <c r="AL16" i="13"/>
  <c r="AO16" i="13" s="1"/>
  <c r="AP16" i="13" s="1"/>
  <c r="AL17" i="13"/>
  <c r="AO17" i="13" s="1"/>
  <c r="AP17" i="13" s="1"/>
  <c r="AL18" i="13"/>
  <c r="AO18" i="13" s="1"/>
  <c r="AP18" i="13" s="1"/>
  <c r="BN18" i="13" s="1"/>
  <c r="AL19" i="13"/>
  <c r="AO19" i="13" s="1"/>
  <c r="AP19" i="13" s="1"/>
  <c r="AL21" i="13"/>
  <c r="AO21" i="13" s="1"/>
  <c r="AP21" i="13" s="1"/>
  <c r="AL22" i="13"/>
  <c r="AO22" i="13" s="1"/>
  <c r="AP22" i="13" s="1"/>
  <c r="BN22" i="13" s="1"/>
  <c r="AL23" i="13"/>
  <c r="AO23" i="13" s="1"/>
  <c r="AP23" i="13" s="1"/>
  <c r="AL24" i="13"/>
  <c r="AO24" i="13" s="1"/>
  <c r="AP24" i="13" s="1"/>
  <c r="AL25" i="13"/>
  <c r="AO25" i="13" s="1"/>
  <c r="AP25" i="13" s="1"/>
  <c r="AL26" i="13"/>
  <c r="AO26" i="13" s="1"/>
  <c r="AP26" i="13" s="1"/>
  <c r="AL27" i="13"/>
  <c r="AO27" i="13" s="1"/>
  <c r="AP27" i="13" s="1"/>
  <c r="BN27" i="13" s="1"/>
  <c r="AL28" i="13"/>
  <c r="AO28" i="13" s="1"/>
  <c r="AP28" i="13" s="1"/>
  <c r="AL29" i="13"/>
  <c r="AO29" i="13" s="1"/>
  <c r="AP29" i="13" s="1"/>
  <c r="AL30" i="13"/>
  <c r="AO30" i="13" s="1"/>
  <c r="AP30" i="13" s="1"/>
  <c r="AL31" i="13"/>
  <c r="AO31" i="13" s="1"/>
  <c r="AP31" i="13" s="1"/>
  <c r="AL32" i="13"/>
  <c r="AO32" i="13" s="1"/>
  <c r="AP32" i="13" s="1"/>
  <c r="AL33" i="13"/>
  <c r="AO33" i="13" s="1"/>
  <c r="AP33" i="13" s="1"/>
  <c r="AL34" i="13"/>
  <c r="AO34" i="13" s="1"/>
  <c r="AP34" i="13" s="1"/>
  <c r="AL35" i="13"/>
  <c r="AO35" i="13" s="1"/>
  <c r="AP35" i="13" s="1"/>
  <c r="AL37" i="13"/>
  <c r="AO37" i="13" s="1"/>
  <c r="AP37" i="13" s="1"/>
  <c r="AL39" i="13"/>
  <c r="AO39" i="13" s="1"/>
  <c r="AP39" i="13" s="1"/>
  <c r="AL40" i="13"/>
  <c r="AO40" i="13" s="1"/>
  <c r="AP40" i="13" s="1"/>
  <c r="AL41" i="13"/>
  <c r="AO41" i="13" s="1"/>
  <c r="AP41" i="13" s="1"/>
  <c r="AL42" i="13"/>
  <c r="AO42" i="13" s="1"/>
  <c r="AP42" i="13" s="1"/>
  <c r="AL43" i="13"/>
  <c r="AO43" i="13" s="1"/>
  <c r="AP43" i="13" s="1"/>
  <c r="AL44" i="13"/>
  <c r="AO44" i="13" s="1"/>
  <c r="AP44" i="13" s="1"/>
  <c r="AL45" i="13"/>
  <c r="AO45" i="13" s="1"/>
  <c r="AP45" i="13" s="1"/>
  <c r="AL46" i="13"/>
  <c r="AO46" i="13" s="1"/>
  <c r="AP46" i="13" s="1"/>
  <c r="AL47" i="13"/>
  <c r="AO47" i="13" s="1"/>
  <c r="AP47" i="13" s="1"/>
  <c r="BN47" i="13" s="1"/>
  <c r="AL48" i="13"/>
  <c r="AO48" i="13" s="1"/>
  <c r="AP48" i="13" s="1"/>
  <c r="AL49" i="13"/>
  <c r="AO49" i="13" s="1"/>
  <c r="AP49" i="13" s="1"/>
  <c r="AL50" i="13"/>
  <c r="AO50" i="13" s="1"/>
  <c r="AP50" i="13" s="1"/>
  <c r="BN50" i="13" s="1"/>
  <c r="AL51" i="13"/>
  <c r="AO51" i="13" s="1"/>
  <c r="AP51" i="13" s="1"/>
  <c r="AL52" i="13"/>
  <c r="AO52" i="13" s="1"/>
  <c r="AP52" i="13" s="1"/>
  <c r="BN52" i="13" s="1"/>
  <c r="AL53" i="13"/>
  <c r="AO53" i="13" s="1"/>
  <c r="AP53" i="13" s="1"/>
  <c r="AL54" i="13"/>
  <c r="AO54" i="13" s="1"/>
  <c r="AP54" i="13" s="1"/>
  <c r="AL55" i="13"/>
  <c r="AO55" i="13" s="1"/>
  <c r="AP55" i="13" s="1"/>
  <c r="AL56" i="13"/>
  <c r="AO56" i="13" s="1"/>
  <c r="AP56" i="13" s="1"/>
  <c r="AL57" i="13"/>
  <c r="AO57" i="13" s="1"/>
  <c r="AP57" i="13" s="1"/>
  <c r="AL58" i="13"/>
  <c r="AO58" i="13" s="1"/>
  <c r="AP58" i="13" s="1"/>
  <c r="AL59" i="13"/>
  <c r="AO59" i="13" s="1"/>
  <c r="AP59" i="13" s="1"/>
  <c r="AL60" i="13"/>
  <c r="AO60" i="13" s="1"/>
  <c r="AP60" i="13" s="1"/>
  <c r="AL61" i="13"/>
  <c r="AO61" i="13" s="1"/>
  <c r="AP61" i="13" s="1"/>
  <c r="AL62" i="13"/>
  <c r="AO62" i="13" s="1"/>
  <c r="AP62" i="13" s="1"/>
  <c r="BN62" i="13" s="1"/>
  <c r="AL63" i="13"/>
  <c r="AO63" i="13" s="1"/>
  <c r="AP63" i="13" s="1"/>
  <c r="BN63" i="13" s="1"/>
  <c r="AL64" i="13"/>
  <c r="AO64" i="13" s="1"/>
  <c r="AP64" i="13" s="1"/>
  <c r="AL65" i="13"/>
  <c r="AO65" i="13" s="1"/>
  <c r="AP65" i="13" s="1"/>
  <c r="AL67" i="13"/>
  <c r="AO67" i="13" s="1"/>
  <c r="AP67" i="13" s="1"/>
  <c r="AL68" i="13"/>
  <c r="AO68" i="13" s="1"/>
  <c r="AP68" i="13" s="1"/>
  <c r="AL69" i="13"/>
  <c r="AO69" i="13" s="1"/>
  <c r="AP69" i="13" s="1"/>
  <c r="AL70" i="13"/>
  <c r="AO70" i="13" s="1"/>
  <c r="AP70" i="13" s="1"/>
  <c r="AL71" i="13"/>
  <c r="AO71" i="13" s="1"/>
  <c r="AP71" i="13" s="1"/>
  <c r="AL72" i="13"/>
  <c r="AO72" i="13" s="1"/>
  <c r="AP72" i="13" s="1"/>
  <c r="BN72" i="13" s="1"/>
  <c r="AL73" i="13"/>
  <c r="AO73" i="13" s="1"/>
  <c r="AP73" i="13" s="1"/>
  <c r="AL74" i="13"/>
  <c r="AO74" i="13" s="1"/>
  <c r="AP74" i="13" s="1"/>
  <c r="AL76" i="13"/>
  <c r="AO76" i="13" s="1"/>
  <c r="AP76" i="13" s="1"/>
  <c r="AL77" i="13"/>
  <c r="AO77" i="13" s="1"/>
  <c r="AP77" i="13" s="1"/>
  <c r="AL78" i="13"/>
  <c r="AO78" i="13" s="1"/>
  <c r="AP78" i="13" s="1"/>
  <c r="AL79" i="13"/>
  <c r="AO79" i="13" s="1"/>
  <c r="AP79" i="13" s="1"/>
  <c r="AL80" i="13"/>
  <c r="AO80" i="13" s="1"/>
  <c r="AP80" i="13" s="1"/>
  <c r="AL81" i="13"/>
  <c r="AO81" i="13" s="1"/>
  <c r="AP81" i="13" s="1"/>
  <c r="BN81" i="13" s="1"/>
  <c r="AL82" i="13"/>
  <c r="AO82" i="13" s="1"/>
  <c r="AP82" i="13" s="1"/>
  <c r="AL83" i="13"/>
  <c r="AO83" i="13" s="1"/>
  <c r="AP83" i="13" s="1"/>
  <c r="AL85" i="13"/>
  <c r="AO85" i="13" s="1"/>
  <c r="AP85" i="13" s="1"/>
  <c r="AL86" i="13"/>
  <c r="AO86" i="13" s="1"/>
  <c r="AP86" i="13" s="1"/>
  <c r="AL87" i="13"/>
  <c r="AO87" i="13" s="1"/>
  <c r="AP87" i="13" s="1"/>
  <c r="AL88" i="13"/>
  <c r="AO88" i="13" s="1"/>
  <c r="AP88" i="13" s="1"/>
  <c r="AL89" i="13"/>
  <c r="AO89" i="13" s="1"/>
  <c r="AP89" i="13" s="1"/>
  <c r="AL90" i="13"/>
  <c r="AO90" i="13" s="1"/>
  <c r="AP90" i="13" s="1"/>
  <c r="AL91" i="13"/>
  <c r="AO91" i="13" s="1"/>
  <c r="AP91" i="13" s="1"/>
  <c r="AL92" i="13"/>
  <c r="AO92" i="13" s="1"/>
  <c r="AP92" i="13" s="1"/>
  <c r="AL93" i="13"/>
  <c r="AO93" i="13" s="1"/>
  <c r="AP93" i="13" s="1"/>
  <c r="AL94" i="13"/>
  <c r="AO94" i="13" s="1"/>
  <c r="AP94" i="13" s="1"/>
  <c r="AL95" i="13"/>
  <c r="AO95" i="13" s="1"/>
  <c r="AP95" i="13" s="1"/>
  <c r="AL96" i="13"/>
  <c r="AO96" i="13" s="1"/>
  <c r="AP96" i="13" s="1"/>
  <c r="AL97" i="13"/>
  <c r="AO97" i="13" s="1"/>
  <c r="AP97" i="13" s="1"/>
  <c r="AL98" i="13"/>
  <c r="AO98" i="13" s="1"/>
  <c r="AP98" i="13" s="1"/>
  <c r="AL99" i="13"/>
  <c r="AO99" i="13" s="1"/>
  <c r="AP99" i="13" s="1"/>
  <c r="AL100" i="13"/>
  <c r="AO100" i="13" s="1"/>
  <c r="AP100" i="13" s="1"/>
  <c r="AL101" i="13"/>
  <c r="AO101" i="13" s="1"/>
  <c r="AP101" i="13" s="1"/>
  <c r="AL102" i="13"/>
  <c r="AO102" i="13" s="1"/>
  <c r="AP102" i="13" s="1"/>
  <c r="AL103" i="13"/>
  <c r="AO103" i="13" s="1"/>
  <c r="AP103" i="13" s="1"/>
  <c r="AL104" i="13"/>
  <c r="AO104" i="13" s="1"/>
  <c r="AP104" i="13" s="1"/>
  <c r="AL105" i="13"/>
  <c r="AO105" i="13" s="1"/>
  <c r="AP105" i="13" s="1"/>
  <c r="AL106" i="13"/>
  <c r="AO106" i="13" s="1"/>
  <c r="AP106" i="13" s="1"/>
  <c r="AL107" i="13"/>
  <c r="AO107" i="13" s="1"/>
  <c r="AP107" i="13" s="1"/>
  <c r="AL108" i="13"/>
  <c r="AO108" i="13" s="1"/>
  <c r="AP108" i="13" s="1"/>
  <c r="AL109" i="13"/>
  <c r="AO109" i="13" s="1"/>
  <c r="AP109" i="13" s="1"/>
  <c r="AL110" i="13"/>
  <c r="AO110" i="13" s="1"/>
  <c r="AP110" i="13" s="1"/>
  <c r="AL111" i="13"/>
  <c r="AO111" i="13" s="1"/>
  <c r="AP111" i="13" s="1"/>
  <c r="AL112" i="13"/>
  <c r="AO112" i="13" s="1"/>
  <c r="AP112" i="13" s="1"/>
  <c r="AL113" i="13"/>
  <c r="AO113" i="13" s="1"/>
  <c r="AP113" i="13" s="1"/>
  <c r="AL114" i="13"/>
  <c r="AO114" i="13" s="1"/>
  <c r="AP114" i="13" s="1"/>
  <c r="AL115" i="13"/>
  <c r="AO115" i="13" s="1"/>
  <c r="AP115" i="13" s="1"/>
  <c r="AL116" i="13"/>
  <c r="AO116" i="13" s="1"/>
  <c r="AP116" i="13" s="1"/>
  <c r="AL117" i="13"/>
  <c r="AO117" i="13" s="1"/>
  <c r="AP117" i="13" s="1"/>
  <c r="AL118" i="13"/>
  <c r="AO118" i="13" s="1"/>
  <c r="AP118" i="13" s="1"/>
  <c r="AL119" i="13"/>
  <c r="AO119" i="13" s="1"/>
  <c r="AP119" i="13" s="1"/>
  <c r="AL120" i="13"/>
  <c r="AO120" i="13" s="1"/>
  <c r="AP120" i="13" s="1"/>
  <c r="AL121" i="13"/>
  <c r="AO121" i="13" s="1"/>
  <c r="AP121" i="13" s="1"/>
  <c r="AL122" i="13"/>
  <c r="AO122" i="13" s="1"/>
  <c r="AP122" i="13" s="1"/>
  <c r="AL123" i="13"/>
  <c r="AO123" i="13" s="1"/>
  <c r="AP123" i="13" s="1"/>
  <c r="AL124" i="13"/>
  <c r="AO124" i="13" s="1"/>
  <c r="AP124" i="13" s="1"/>
  <c r="AL125" i="13"/>
  <c r="AO125" i="13" s="1"/>
  <c r="AP125" i="13" s="1"/>
  <c r="AL126" i="13"/>
  <c r="AO126" i="13" s="1"/>
  <c r="AP126" i="13" s="1"/>
  <c r="AL127" i="13"/>
  <c r="AO127" i="13" s="1"/>
  <c r="AP127" i="13" s="1"/>
  <c r="AL128" i="13"/>
  <c r="AO128" i="13" s="1"/>
  <c r="AP128" i="13" s="1"/>
  <c r="AL129" i="13"/>
  <c r="AO129" i="13" s="1"/>
  <c r="AP129" i="13" s="1"/>
  <c r="AL130" i="13"/>
  <c r="AO130" i="13" s="1"/>
  <c r="AP130" i="13" s="1"/>
  <c r="AL131" i="13"/>
  <c r="AO131" i="13" s="1"/>
  <c r="AP131" i="13" s="1"/>
  <c r="AL132" i="13"/>
  <c r="AO132" i="13" s="1"/>
  <c r="AP132" i="13" s="1"/>
  <c r="AL133" i="13"/>
  <c r="AO133" i="13" s="1"/>
  <c r="AP133" i="13" s="1"/>
  <c r="AL134" i="13"/>
  <c r="AO134" i="13" s="1"/>
  <c r="AP134" i="13" s="1"/>
  <c r="AL135" i="13"/>
  <c r="AO135" i="13" s="1"/>
  <c r="AP135" i="13" s="1"/>
  <c r="AL136" i="13"/>
  <c r="AO136" i="13" s="1"/>
  <c r="AP136" i="13" s="1"/>
  <c r="BN136" i="13" s="1"/>
  <c r="AL139" i="13"/>
  <c r="AO139" i="13" s="1"/>
  <c r="AP139" i="13" s="1"/>
  <c r="BN139" i="13" s="1"/>
  <c r="AL140" i="13"/>
  <c r="AO140" i="13" s="1"/>
  <c r="AP140" i="13" s="1"/>
  <c r="AL141" i="13"/>
  <c r="AO141" i="13" s="1"/>
  <c r="AP141" i="13" s="1"/>
  <c r="BN141" i="13" s="1"/>
  <c r="AL142" i="13"/>
  <c r="AO142" i="13" s="1"/>
  <c r="AP142" i="13" s="1"/>
  <c r="BN142" i="13" s="1"/>
  <c r="AL143" i="13"/>
  <c r="AO143" i="13" s="1"/>
  <c r="AP143" i="13" s="1"/>
  <c r="AL144" i="13"/>
  <c r="AO144" i="13" s="1"/>
  <c r="AP144" i="13" s="1"/>
  <c r="AL145" i="13"/>
  <c r="AO145" i="13" s="1"/>
  <c r="AP145" i="13" s="1"/>
  <c r="AL146" i="13"/>
  <c r="AO146" i="13" s="1"/>
  <c r="AP146" i="13" s="1"/>
  <c r="AL147" i="13"/>
  <c r="AO147" i="13" s="1"/>
  <c r="AP147" i="13" s="1"/>
  <c r="AL148" i="13"/>
  <c r="AO148" i="13" s="1"/>
  <c r="AP148" i="13" s="1"/>
  <c r="AL149" i="13"/>
  <c r="AO149" i="13" s="1"/>
  <c r="AP149" i="13" s="1"/>
  <c r="AL150" i="13"/>
  <c r="AO150" i="13" s="1"/>
  <c r="AP150" i="13" s="1"/>
  <c r="AL151" i="13"/>
  <c r="AO151" i="13" s="1"/>
  <c r="AP151" i="13" s="1"/>
  <c r="AL152" i="13"/>
  <c r="AO152" i="13" s="1"/>
  <c r="AP152" i="13" s="1"/>
  <c r="AL153" i="13"/>
  <c r="AO153" i="13" s="1"/>
  <c r="AP153" i="13" s="1"/>
  <c r="AL154" i="13"/>
  <c r="AO154" i="13" s="1"/>
  <c r="AP154" i="13" s="1"/>
  <c r="R20" i="25" l="1"/>
  <c r="T20" i="25" s="1"/>
  <c r="E51" i="25" s="1"/>
  <c r="G51" i="25"/>
  <c r="BC165" i="13"/>
  <c r="D31" i="25"/>
  <c r="R35" i="25"/>
  <c r="D15" i="25"/>
  <c r="R40" i="25"/>
  <c r="C59" i="25"/>
  <c r="AO3" i="13"/>
  <c r="AP3" i="13" s="1"/>
  <c r="I49" i="25"/>
  <c r="I9" i="25"/>
  <c r="I11" i="25" s="1"/>
  <c r="L25" i="25"/>
  <c r="O9" i="25"/>
  <c r="O11" i="25" s="1"/>
  <c r="I30" i="25"/>
  <c r="L30" i="25" s="1"/>
  <c r="R34" i="25"/>
  <c r="R39" i="25"/>
  <c r="G31" i="25"/>
  <c r="L29" i="25"/>
  <c r="R30" i="25"/>
  <c r="Q15" i="25"/>
  <c r="G55" i="25"/>
  <c r="Q9" i="25"/>
  <c r="O25" i="25"/>
  <c r="L27" i="25"/>
  <c r="O13" i="25"/>
  <c r="O15" i="25" s="1"/>
  <c r="I14" i="25"/>
  <c r="O29" i="25"/>
  <c r="R13" i="25"/>
  <c r="AX20" i="13"/>
  <c r="AX142" i="13"/>
  <c r="AX137" i="13"/>
  <c r="AX66" i="13"/>
  <c r="L9" i="25" l="1"/>
  <c r="I51" i="25"/>
  <c r="I31" i="25"/>
  <c r="O27" i="25"/>
  <c r="Q25" i="25"/>
  <c r="L31" i="25"/>
  <c r="R9" i="25"/>
  <c r="R11" i="25" s="1"/>
  <c r="L11" i="25"/>
  <c r="C61" i="25" s="1"/>
  <c r="Q29" i="25"/>
  <c r="Q31" i="25" s="1"/>
  <c r="O31" i="25"/>
  <c r="L14" i="25"/>
  <c r="I15" i="25"/>
  <c r="AY20" i="13"/>
  <c r="AY66" i="13"/>
  <c r="AY142" i="13"/>
  <c r="AY137" i="13"/>
  <c r="R14" i="25" l="1"/>
  <c r="R15" i="25" s="1"/>
  <c r="L15" i="25"/>
  <c r="Q27" i="25"/>
  <c r="R25" i="25"/>
  <c r="R27" i="25" s="1"/>
  <c r="R29" i="25"/>
  <c r="R31" i="25" s="1"/>
  <c r="AW51" i="13"/>
  <c r="AV51" i="13"/>
  <c r="I14" i="22"/>
  <c r="G57" i="22"/>
  <c r="BN51" i="13" l="1"/>
  <c r="T42" i="25"/>
  <c r="E55" i="25"/>
  <c r="G42" i="22"/>
  <c r="G33" i="22"/>
  <c r="O24" i="22"/>
  <c r="Q24" i="22" s="1"/>
  <c r="O23" i="22"/>
  <c r="Q23" i="22" s="1"/>
  <c r="I23" i="22"/>
  <c r="L23" i="22" s="1"/>
  <c r="R23" i="22" s="1"/>
  <c r="G22" i="22"/>
  <c r="G24" i="22"/>
  <c r="D22" i="22"/>
  <c r="D24" i="22" s="1"/>
  <c r="I24" i="22" s="1"/>
  <c r="L24" i="22" s="1"/>
  <c r="G23" i="22"/>
  <c r="R24" i="22" l="1"/>
  <c r="E42" i="22" s="1"/>
  <c r="G64" i="25"/>
  <c r="G14" i="22"/>
  <c r="O14" i="22" s="1"/>
  <c r="Q14" i="22" s="1"/>
  <c r="D5" i="22"/>
  <c r="G5" i="22"/>
  <c r="O5" i="22" s="1"/>
  <c r="Q5" i="22" s="1"/>
  <c r="AX80" i="13"/>
  <c r="AW80" i="13"/>
  <c r="AV80" i="13"/>
  <c r="I5" i="22" l="1"/>
  <c r="L5" i="22" s="1"/>
  <c r="BN80" i="13"/>
  <c r="AY80" i="13"/>
  <c r="D7" i="22"/>
  <c r="I7" i="22"/>
  <c r="D16" i="22"/>
  <c r="G16" i="22"/>
  <c r="G40" i="22" s="1"/>
  <c r="O7" i="22"/>
  <c r="G7" i="22"/>
  <c r="G38" i="22" s="1"/>
  <c r="BC108" i="13"/>
  <c r="BN108" i="13" s="1"/>
  <c r="AZ112" i="13"/>
  <c r="AZ113" i="13"/>
  <c r="AZ114" i="13"/>
  <c r="AZ88" i="13"/>
  <c r="AX141" i="13"/>
  <c r="AY141" i="13" s="1"/>
  <c r="AX139" i="13"/>
  <c r="AX108" i="13"/>
  <c r="AX81" i="13"/>
  <c r="AX72" i="13"/>
  <c r="AX50" i="13"/>
  <c r="AX27" i="13"/>
  <c r="AX22" i="13"/>
  <c r="AX6" i="13"/>
  <c r="AX15" i="13"/>
  <c r="AW3" i="13"/>
  <c r="AW5" i="13"/>
  <c r="BN5" i="13" s="1"/>
  <c r="AW7" i="13"/>
  <c r="BN7" i="13" s="1"/>
  <c r="AW9" i="13"/>
  <c r="AW10" i="13"/>
  <c r="AW13" i="13"/>
  <c r="AW14" i="13"/>
  <c r="AW16" i="13"/>
  <c r="AW17" i="13"/>
  <c r="AW19" i="13"/>
  <c r="AW21" i="13"/>
  <c r="AW23" i="13"/>
  <c r="AW24" i="13"/>
  <c r="AW25" i="13"/>
  <c r="AW26" i="13"/>
  <c r="AW28" i="13"/>
  <c r="AW29" i="13"/>
  <c r="AW30" i="13"/>
  <c r="AW31" i="13"/>
  <c r="AW32" i="13"/>
  <c r="AW33" i="13"/>
  <c r="AW34" i="13"/>
  <c r="AW35" i="13"/>
  <c r="AW37" i="13"/>
  <c r="AW39" i="13"/>
  <c r="AW40" i="13"/>
  <c r="AW41" i="13"/>
  <c r="AW42" i="13"/>
  <c r="AW43" i="13"/>
  <c r="AW44" i="13"/>
  <c r="AW45" i="13"/>
  <c r="AW46" i="13"/>
  <c r="AW48" i="13"/>
  <c r="AW49" i="13"/>
  <c r="AW53" i="13"/>
  <c r="AW54" i="13"/>
  <c r="AW55" i="13"/>
  <c r="AW56" i="13"/>
  <c r="AW57" i="13"/>
  <c r="AW58" i="13"/>
  <c r="AW59" i="13"/>
  <c r="AW60" i="13"/>
  <c r="AW61" i="13"/>
  <c r="AW64" i="13"/>
  <c r="AW65" i="13"/>
  <c r="AW67" i="13"/>
  <c r="AW68" i="13"/>
  <c r="AW69" i="13"/>
  <c r="AW70" i="13"/>
  <c r="AW71" i="13"/>
  <c r="AW73" i="13"/>
  <c r="AW74" i="13"/>
  <c r="AW76" i="13"/>
  <c r="AW77" i="13"/>
  <c r="AW78" i="13"/>
  <c r="AW79" i="13"/>
  <c r="AW82" i="13"/>
  <c r="AW83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40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2" i="13"/>
  <c r="AV9" i="13"/>
  <c r="AV10" i="13"/>
  <c r="AV13" i="13"/>
  <c r="AV14" i="13"/>
  <c r="AV16" i="13"/>
  <c r="AV17" i="13"/>
  <c r="AV19" i="13"/>
  <c r="AV21" i="13"/>
  <c r="AV23" i="13"/>
  <c r="AV24" i="13"/>
  <c r="AV25" i="13"/>
  <c r="AV26" i="13"/>
  <c r="AV28" i="13"/>
  <c r="AV29" i="13"/>
  <c r="AV30" i="13"/>
  <c r="AV31" i="13"/>
  <c r="AV32" i="13"/>
  <c r="AV33" i="13"/>
  <c r="AV34" i="13"/>
  <c r="AV35" i="13"/>
  <c r="AV37" i="13"/>
  <c r="AV39" i="13"/>
  <c r="AV40" i="13"/>
  <c r="AV41" i="13"/>
  <c r="AV42" i="13"/>
  <c r="AV43" i="13"/>
  <c r="AV44" i="13"/>
  <c r="AV45" i="13"/>
  <c r="AV46" i="13"/>
  <c r="AV48" i="13"/>
  <c r="AV49" i="13"/>
  <c r="AV53" i="13"/>
  <c r="AV54" i="13"/>
  <c r="AV55" i="13"/>
  <c r="AV56" i="13"/>
  <c r="AV57" i="13"/>
  <c r="AV58" i="13"/>
  <c r="AV59" i="13"/>
  <c r="AV60" i="13"/>
  <c r="AV61" i="13"/>
  <c r="AV64" i="13"/>
  <c r="AV65" i="13"/>
  <c r="AV67" i="13"/>
  <c r="AV68" i="13"/>
  <c r="AV69" i="13"/>
  <c r="AV70" i="13"/>
  <c r="AV71" i="13"/>
  <c r="AV73" i="13"/>
  <c r="AV74" i="13"/>
  <c r="AV76" i="13"/>
  <c r="AV77" i="13"/>
  <c r="AV78" i="13"/>
  <c r="AV79" i="13"/>
  <c r="AV82" i="13"/>
  <c r="AV83" i="13"/>
  <c r="AV85" i="13"/>
  <c r="AV86" i="13"/>
  <c r="AV87" i="13"/>
  <c r="AV88" i="13"/>
  <c r="AV89" i="13"/>
  <c r="AV90" i="13"/>
  <c r="AV91" i="13"/>
  <c r="AV92" i="13"/>
  <c r="AV93" i="13"/>
  <c r="AV94" i="13"/>
  <c r="AV95" i="13"/>
  <c r="AV96" i="13"/>
  <c r="AV97" i="13"/>
  <c r="AV98" i="13"/>
  <c r="AV99" i="13"/>
  <c r="AV100" i="13"/>
  <c r="AV101" i="13"/>
  <c r="AV102" i="13"/>
  <c r="AV103" i="13"/>
  <c r="AV104" i="13"/>
  <c r="AV105" i="13"/>
  <c r="AV106" i="13"/>
  <c r="AV107" i="13"/>
  <c r="AV109" i="13"/>
  <c r="AV110" i="13"/>
  <c r="AV111" i="13"/>
  <c r="AV112" i="13"/>
  <c r="AV113" i="13"/>
  <c r="AV114" i="13"/>
  <c r="AV115" i="13"/>
  <c r="AV116" i="13"/>
  <c r="AV117" i="13"/>
  <c r="AV118" i="13"/>
  <c r="AV119" i="13"/>
  <c r="AV120" i="13"/>
  <c r="AV121" i="13"/>
  <c r="AV122" i="13"/>
  <c r="AV123" i="13"/>
  <c r="AV124" i="13"/>
  <c r="AV125" i="13"/>
  <c r="AV126" i="13"/>
  <c r="AV127" i="13"/>
  <c r="AV128" i="13"/>
  <c r="AV129" i="13"/>
  <c r="AV130" i="13"/>
  <c r="AV131" i="13"/>
  <c r="AV132" i="13"/>
  <c r="AV133" i="13"/>
  <c r="AV134" i="13"/>
  <c r="AV135" i="13"/>
  <c r="AV140" i="13"/>
  <c r="AV143" i="13"/>
  <c r="AV144" i="13"/>
  <c r="AV145" i="13"/>
  <c r="AV146" i="13"/>
  <c r="AV147" i="13"/>
  <c r="AV148" i="13"/>
  <c r="AV149" i="13"/>
  <c r="AV150" i="13"/>
  <c r="AV151" i="13"/>
  <c r="AV152" i="13"/>
  <c r="AV153" i="13"/>
  <c r="AV154" i="13"/>
  <c r="AV3" i="13"/>
  <c r="AV2" i="13"/>
  <c r="AZ6" i="13"/>
  <c r="BN57" i="13" l="1"/>
  <c r="BN105" i="13"/>
  <c r="BN33" i="13"/>
  <c r="BN118" i="13"/>
  <c r="BN73" i="13"/>
  <c r="BN17" i="13"/>
  <c r="BN48" i="13"/>
  <c r="BN99" i="13"/>
  <c r="R5" i="22"/>
  <c r="R7" i="22" s="1"/>
  <c r="L7" i="22"/>
  <c r="BN112" i="13"/>
  <c r="BN78" i="13"/>
  <c r="BN26" i="13"/>
  <c r="BN65" i="13"/>
  <c r="BN93" i="13"/>
  <c r="BN41" i="13"/>
  <c r="BN140" i="13"/>
  <c r="BN148" i="13"/>
  <c r="BN124" i="13"/>
  <c r="BN154" i="13"/>
  <c r="BN130" i="13"/>
  <c r="BN147" i="13"/>
  <c r="BN135" i="13"/>
  <c r="BN129" i="13"/>
  <c r="BN123" i="13"/>
  <c r="BN117" i="13"/>
  <c r="BN104" i="13"/>
  <c r="BN98" i="13"/>
  <c r="BN92" i="13"/>
  <c r="BN86" i="13"/>
  <c r="BN77" i="13"/>
  <c r="BN71" i="13"/>
  <c r="BN64" i="13"/>
  <c r="BN56" i="13"/>
  <c r="BN46" i="13"/>
  <c r="BN32" i="13"/>
  <c r="BN25" i="13"/>
  <c r="BN16" i="13"/>
  <c r="BN152" i="13"/>
  <c r="BN146" i="13"/>
  <c r="BN134" i="13"/>
  <c r="BN128" i="13"/>
  <c r="BN122" i="13"/>
  <c r="BN116" i="13"/>
  <c r="BN110" i="13"/>
  <c r="BN103" i="13"/>
  <c r="BN97" i="13"/>
  <c r="BN91" i="13"/>
  <c r="BN85" i="13"/>
  <c r="BN76" i="13"/>
  <c r="BN70" i="13"/>
  <c r="BN61" i="13"/>
  <c r="BN55" i="13"/>
  <c r="BN45" i="13"/>
  <c r="BN39" i="13"/>
  <c r="BN31" i="13"/>
  <c r="BN24" i="13"/>
  <c r="BN14" i="13"/>
  <c r="BN3" i="13"/>
  <c r="BN153" i="13"/>
  <c r="BN151" i="13"/>
  <c r="BN145" i="13"/>
  <c r="BN133" i="13"/>
  <c r="BN127" i="13"/>
  <c r="BN121" i="13"/>
  <c r="BN115" i="13"/>
  <c r="BN109" i="13"/>
  <c r="BN102" i="13"/>
  <c r="BN96" i="13"/>
  <c r="BN90" i="13"/>
  <c r="BN83" i="13"/>
  <c r="BN74" i="13"/>
  <c r="BN69" i="13"/>
  <c r="BN60" i="13"/>
  <c r="BN54" i="13"/>
  <c r="BN44" i="13"/>
  <c r="BN37" i="13"/>
  <c r="BN30" i="13"/>
  <c r="BN23" i="13"/>
  <c r="BN13" i="13"/>
  <c r="BN150" i="13"/>
  <c r="BN144" i="13"/>
  <c r="BN132" i="13"/>
  <c r="BN126" i="13"/>
  <c r="BN120" i="13"/>
  <c r="BN114" i="13"/>
  <c r="BN107" i="13"/>
  <c r="BN101" i="13"/>
  <c r="BN95" i="13"/>
  <c r="BN89" i="13"/>
  <c r="BN82" i="13"/>
  <c r="BN68" i="13"/>
  <c r="BN59" i="13"/>
  <c r="BN53" i="13"/>
  <c r="BN43" i="13"/>
  <c r="BN35" i="13"/>
  <c r="BN29" i="13"/>
  <c r="BN21" i="13"/>
  <c r="BN10" i="13"/>
  <c r="BN2" i="13"/>
  <c r="BN149" i="13"/>
  <c r="BN143" i="13"/>
  <c r="BN131" i="13"/>
  <c r="BN125" i="13"/>
  <c r="BN119" i="13"/>
  <c r="BN113" i="13"/>
  <c r="BN106" i="13"/>
  <c r="BN100" i="13"/>
  <c r="BN94" i="13"/>
  <c r="BN88" i="13"/>
  <c r="BN79" i="13"/>
  <c r="BN67" i="13"/>
  <c r="BN58" i="13"/>
  <c r="BN42" i="13"/>
  <c r="BN34" i="13"/>
  <c r="BN28" i="13"/>
  <c r="BN19" i="13"/>
  <c r="BN9" i="13"/>
  <c r="E38" i="22"/>
  <c r="AY72" i="13"/>
  <c r="L14" i="22"/>
  <c r="R14" i="22" s="1"/>
  <c r="I16" i="22"/>
  <c r="Q16" i="22"/>
  <c r="O16" i="22"/>
  <c r="AY81" i="13"/>
  <c r="AY108" i="13"/>
  <c r="AY139" i="13"/>
  <c r="AY50" i="13"/>
  <c r="AY47" i="13"/>
  <c r="AY27" i="13"/>
  <c r="AY6" i="13"/>
  <c r="AY22" i="13"/>
  <c r="AY15" i="13"/>
  <c r="G15" i="24"/>
  <c r="L16" i="22" l="1"/>
  <c r="C48" i="22" s="1"/>
  <c r="R16" i="22"/>
  <c r="T31" i="22" s="1"/>
  <c r="G49" i="24"/>
  <c r="C49" i="24"/>
  <c r="G23" i="24"/>
  <c r="I21" i="24"/>
  <c r="L21" i="24" s="1"/>
  <c r="G21" i="24"/>
  <c r="G34" i="24" s="1"/>
  <c r="P20" i="24"/>
  <c r="G20" i="24"/>
  <c r="O20" i="24" s="1"/>
  <c r="Q20" i="24" s="1"/>
  <c r="D20" i="24"/>
  <c r="I20" i="24" s="1"/>
  <c r="L20" i="24" s="1"/>
  <c r="G17" i="24"/>
  <c r="O17" i="24" s="1"/>
  <c r="Q17" i="24" s="1"/>
  <c r="D17" i="24"/>
  <c r="D18" i="24" s="1"/>
  <c r="P16" i="24"/>
  <c r="I16" i="24"/>
  <c r="L16" i="24" s="1"/>
  <c r="G16" i="24"/>
  <c r="O16" i="24" s="1"/>
  <c r="D16" i="24"/>
  <c r="T13" i="24"/>
  <c r="P6" i="24"/>
  <c r="G6" i="24"/>
  <c r="O6" i="24" s="1"/>
  <c r="D6" i="24"/>
  <c r="I6" i="24" s="1"/>
  <c r="L6" i="24" s="1"/>
  <c r="P5" i="24"/>
  <c r="Q5" i="24" s="1"/>
  <c r="M5" i="24"/>
  <c r="G5" i="24"/>
  <c r="O5" i="24" s="1"/>
  <c r="D5" i="24"/>
  <c r="I5" i="24" s="1"/>
  <c r="AX112" i="13"/>
  <c r="AY112" i="13" s="1"/>
  <c r="BC6" i="13"/>
  <c r="BN6" i="13" s="1"/>
  <c r="AX3" i="13"/>
  <c r="AY3" i="13" s="1"/>
  <c r="P18" i="22"/>
  <c r="D19" i="22"/>
  <c r="D18" i="22"/>
  <c r="T11" i="22"/>
  <c r="P9" i="22"/>
  <c r="Q9" i="22" s="1"/>
  <c r="G9" i="22"/>
  <c r="O9" i="22" s="1"/>
  <c r="D9" i="22"/>
  <c r="I9" i="22" s="1"/>
  <c r="L9" i="22" s="1"/>
  <c r="M9" i="22"/>
  <c r="P10" i="22"/>
  <c r="D10" i="22"/>
  <c r="I10" i="22" s="1"/>
  <c r="L10" i="22" s="1"/>
  <c r="AX152" i="13"/>
  <c r="AY152" i="13" s="1"/>
  <c r="AX123" i="13"/>
  <c r="AY123" i="13" s="1"/>
  <c r="AX119" i="13"/>
  <c r="AY119" i="13" s="1"/>
  <c r="AX94" i="13"/>
  <c r="AY94" i="13" s="1"/>
  <c r="AX39" i="13"/>
  <c r="AY39" i="13" s="1"/>
  <c r="AX25" i="13"/>
  <c r="AY25" i="13" s="1"/>
  <c r="E40" i="22" l="1"/>
  <c r="E44" i="22" s="1"/>
  <c r="R9" i="22"/>
  <c r="O21" i="24"/>
  <c r="Q21" i="24" s="1"/>
  <c r="R21" i="24" s="1"/>
  <c r="E34" i="24" s="1"/>
  <c r="R20" i="24"/>
  <c r="I13" i="24"/>
  <c r="L5" i="24"/>
  <c r="O13" i="24"/>
  <c r="Q6" i="24"/>
  <c r="R6" i="24" s="1"/>
  <c r="O18" i="24"/>
  <c r="G13" i="24"/>
  <c r="G30" i="24" s="1"/>
  <c r="D13" i="24"/>
  <c r="I17" i="24"/>
  <c r="L17" i="24" s="1"/>
  <c r="R17" i="24" s="1"/>
  <c r="G18" i="24"/>
  <c r="G32" i="24" s="1"/>
  <c r="Q16" i="24"/>
  <c r="Q18" i="24" s="1"/>
  <c r="AX154" i="13"/>
  <c r="AY154" i="13" s="1"/>
  <c r="AX153" i="13"/>
  <c r="AY153" i="13" s="1"/>
  <c r="AX151" i="13"/>
  <c r="AY151" i="13" s="1"/>
  <c r="AX150" i="13"/>
  <c r="AY150" i="13" s="1"/>
  <c r="AX149" i="13"/>
  <c r="AY149" i="13" s="1"/>
  <c r="AX148" i="13"/>
  <c r="AY148" i="13" s="1"/>
  <c r="AX147" i="13"/>
  <c r="AY147" i="13" s="1"/>
  <c r="AX146" i="13"/>
  <c r="AY146" i="13" s="1"/>
  <c r="AX145" i="13"/>
  <c r="AY145" i="13" s="1"/>
  <c r="AX144" i="13"/>
  <c r="AY144" i="13" s="1"/>
  <c r="AX143" i="13"/>
  <c r="AY143" i="13" s="1"/>
  <c r="AX140" i="13"/>
  <c r="AY140" i="13" s="1"/>
  <c r="AX135" i="13"/>
  <c r="AY135" i="13" s="1"/>
  <c r="AX134" i="13"/>
  <c r="AY134" i="13" s="1"/>
  <c r="AX133" i="13"/>
  <c r="AY133" i="13" s="1"/>
  <c r="AX132" i="13"/>
  <c r="AY132" i="13" s="1"/>
  <c r="AX131" i="13"/>
  <c r="AY131" i="13" s="1"/>
  <c r="AX130" i="13"/>
  <c r="AY130" i="13" s="1"/>
  <c r="AX129" i="13"/>
  <c r="AY129" i="13" s="1"/>
  <c r="AX128" i="13"/>
  <c r="AY128" i="13" s="1"/>
  <c r="AX127" i="13"/>
  <c r="AY127" i="13" s="1"/>
  <c r="AX126" i="13"/>
  <c r="AY126" i="13" s="1"/>
  <c r="AX125" i="13"/>
  <c r="AY125" i="13" s="1"/>
  <c r="AX124" i="13"/>
  <c r="AY124" i="13" s="1"/>
  <c r="AX122" i="13"/>
  <c r="AY122" i="13" s="1"/>
  <c r="AX121" i="13"/>
  <c r="AY121" i="13" s="1"/>
  <c r="AX120" i="13"/>
  <c r="AY120" i="13" s="1"/>
  <c r="AX118" i="13"/>
  <c r="AY118" i="13" s="1"/>
  <c r="AX117" i="13"/>
  <c r="AY117" i="13" s="1"/>
  <c r="AX116" i="13"/>
  <c r="AY116" i="13" s="1"/>
  <c r="AX115" i="13"/>
  <c r="AY115" i="13" s="1"/>
  <c r="AX114" i="13"/>
  <c r="AY114" i="13" s="1"/>
  <c r="AX113" i="13"/>
  <c r="AY113" i="13" s="1"/>
  <c r="AX111" i="13"/>
  <c r="AY111" i="13" s="1"/>
  <c r="AX110" i="13"/>
  <c r="AY110" i="13" s="1"/>
  <c r="AX109" i="13"/>
  <c r="AY109" i="13" s="1"/>
  <c r="AX107" i="13"/>
  <c r="AY107" i="13" s="1"/>
  <c r="AX106" i="13"/>
  <c r="AY106" i="13" s="1"/>
  <c r="AX105" i="13"/>
  <c r="AY105" i="13" s="1"/>
  <c r="AX104" i="13"/>
  <c r="AY104" i="13" s="1"/>
  <c r="AX103" i="13"/>
  <c r="AY103" i="13" s="1"/>
  <c r="AX102" i="13"/>
  <c r="AY102" i="13" s="1"/>
  <c r="AX101" i="13"/>
  <c r="AY101" i="13" s="1"/>
  <c r="AX100" i="13"/>
  <c r="AY100" i="13" s="1"/>
  <c r="AX99" i="13"/>
  <c r="AY99" i="13" s="1"/>
  <c r="AX98" i="13"/>
  <c r="AY98" i="13" s="1"/>
  <c r="AX97" i="13"/>
  <c r="AY97" i="13" s="1"/>
  <c r="AX96" i="13"/>
  <c r="AY96" i="13" s="1"/>
  <c r="AX95" i="13"/>
  <c r="AY95" i="13" s="1"/>
  <c r="AX93" i="13"/>
  <c r="AY93" i="13" s="1"/>
  <c r="AX92" i="13"/>
  <c r="AY92" i="13" s="1"/>
  <c r="AX91" i="13"/>
  <c r="AY91" i="13" s="1"/>
  <c r="AX90" i="13"/>
  <c r="AY90" i="13" s="1"/>
  <c r="AX89" i="13"/>
  <c r="AY89" i="13" s="1"/>
  <c r="AX88" i="13"/>
  <c r="AY88" i="13" s="1"/>
  <c r="AX87" i="13"/>
  <c r="AY87" i="13" s="1"/>
  <c r="AX86" i="13"/>
  <c r="AY86" i="13" s="1"/>
  <c r="AX85" i="13"/>
  <c r="AY85" i="13" s="1"/>
  <c r="AX84" i="13"/>
  <c r="AY84" i="13" s="1"/>
  <c r="AX83" i="13"/>
  <c r="AY83" i="13" s="1"/>
  <c r="AX82" i="13"/>
  <c r="AY82" i="13" s="1"/>
  <c r="AX79" i="13"/>
  <c r="AY79" i="13" s="1"/>
  <c r="AX78" i="13"/>
  <c r="AY78" i="13" s="1"/>
  <c r="AX77" i="13"/>
  <c r="AY77" i="13" s="1"/>
  <c r="AX76" i="13"/>
  <c r="AY76" i="13" s="1"/>
  <c r="AX74" i="13"/>
  <c r="AY74" i="13" s="1"/>
  <c r="AX73" i="13"/>
  <c r="AY73" i="13" s="1"/>
  <c r="AX71" i="13"/>
  <c r="AY71" i="13" s="1"/>
  <c r="AX70" i="13"/>
  <c r="AY70" i="13" s="1"/>
  <c r="AX69" i="13"/>
  <c r="AY69" i="13" s="1"/>
  <c r="AX68" i="13"/>
  <c r="AY68" i="13" s="1"/>
  <c r="AX67" i="13"/>
  <c r="AY67" i="13" s="1"/>
  <c r="AX65" i="13"/>
  <c r="AY65" i="13" s="1"/>
  <c r="AX64" i="13"/>
  <c r="AY64" i="13" s="1"/>
  <c r="AX63" i="13"/>
  <c r="AY63" i="13" s="1"/>
  <c r="AX62" i="13"/>
  <c r="AY62" i="13" s="1"/>
  <c r="AX61" i="13"/>
  <c r="AY61" i="13" s="1"/>
  <c r="AX60" i="13"/>
  <c r="AY60" i="13" s="1"/>
  <c r="AX59" i="13"/>
  <c r="AY59" i="13" s="1"/>
  <c r="AX58" i="13"/>
  <c r="AY58" i="13" s="1"/>
  <c r="AX57" i="13"/>
  <c r="AY57" i="13" s="1"/>
  <c r="AX56" i="13"/>
  <c r="AY56" i="13" s="1"/>
  <c r="AX55" i="13"/>
  <c r="AY55" i="13" s="1"/>
  <c r="AX54" i="13"/>
  <c r="AY54" i="13" s="1"/>
  <c r="AX53" i="13"/>
  <c r="AY53" i="13" s="1"/>
  <c r="AX52" i="13"/>
  <c r="AY52" i="13" s="1"/>
  <c r="AX51" i="13"/>
  <c r="AY51" i="13" s="1"/>
  <c r="AX49" i="13"/>
  <c r="AY49" i="13" s="1"/>
  <c r="AX48" i="13"/>
  <c r="AY48" i="13" s="1"/>
  <c r="AX46" i="13"/>
  <c r="AY46" i="13" s="1"/>
  <c r="AX45" i="13"/>
  <c r="AY45" i="13" s="1"/>
  <c r="AX44" i="13"/>
  <c r="AY44" i="13" s="1"/>
  <c r="AX43" i="13"/>
  <c r="AY43" i="13" s="1"/>
  <c r="AX42" i="13"/>
  <c r="AY42" i="13" s="1"/>
  <c r="AX41" i="13"/>
  <c r="AY41" i="13" s="1"/>
  <c r="AX40" i="13"/>
  <c r="AY40" i="13" s="1"/>
  <c r="AX37" i="13"/>
  <c r="AY37" i="13" s="1"/>
  <c r="AX36" i="13"/>
  <c r="AY36" i="13" s="1"/>
  <c r="AX35" i="13"/>
  <c r="AY35" i="13" s="1"/>
  <c r="AX34" i="13"/>
  <c r="AY34" i="13" s="1"/>
  <c r="AX33" i="13"/>
  <c r="AY33" i="13" s="1"/>
  <c r="AX32" i="13"/>
  <c r="AY32" i="13" s="1"/>
  <c r="AX31" i="13"/>
  <c r="AY31" i="13" s="1"/>
  <c r="AX30" i="13"/>
  <c r="AY30" i="13" s="1"/>
  <c r="AX29" i="13"/>
  <c r="AY29" i="13" s="1"/>
  <c r="AX28" i="13"/>
  <c r="AY28" i="13" s="1"/>
  <c r="AX26" i="13"/>
  <c r="AY26" i="13" s="1"/>
  <c r="AX24" i="13"/>
  <c r="AY24" i="13" s="1"/>
  <c r="AX23" i="13"/>
  <c r="AY23" i="13" s="1"/>
  <c r="AX21" i="13"/>
  <c r="AY21" i="13" s="1"/>
  <c r="AX19" i="13"/>
  <c r="AY19" i="13" s="1"/>
  <c r="AX18" i="13"/>
  <c r="AY18" i="13" s="1"/>
  <c r="AX17" i="13"/>
  <c r="AY17" i="13" s="1"/>
  <c r="AX16" i="13"/>
  <c r="AY16" i="13" s="1"/>
  <c r="AX14" i="13"/>
  <c r="AY14" i="13" s="1"/>
  <c r="AX13" i="13"/>
  <c r="AY13" i="13" s="1"/>
  <c r="AX10" i="13"/>
  <c r="AY10" i="13" s="1"/>
  <c r="AX9" i="13"/>
  <c r="AY9" i="13" s="1"/>
  <c r="AX7" i="13"/>
  <c r="AY7" i="13" s="1"/>
  <c r="AX5" i="13"/>
  <c r="AX2" i="13"/>
  <c r="C57" i="22"/>
  <c r="G31" i="22"/>
  <c r="G29" i="22"/>
  <c r="I29" i="22"/>
  <c r="L29" i="22" s="1"/>
  <c r="P28" i="22"/>
  <c r="G28" i="22"/>
  <c r="O28" i="22" s="1"/>
  <c r="Q28" i="22" s="1"/>
  <c r="D28" i="22"/>
  <c r="I28" i="22" s="1"/>
  <c r="L28" i="22" s="1"/>
  <c r="G19" i="22"/>
  <c r="O19" i="22" s="1"/>
  <c r="Q19" i="22" s="1"/>
  <c r="D20" i="22"/>
  <c r="I18" i="22"/>
  <c r="G18" i="22"/>
  <c r="G10" i="22"/>
  <c r="O10" i="22" s="1"/>
  <c r="BC40" i="13"/>
  <c r="BN40" i="13" s="1"/>
  <c r="BC49" i="13"/>
  <c r="BN49" i="13" s="1"/>
  <c r="G42" i="21"/>
  <c r="G16" i="21"/>
  <c r="G14" i="21"/>
  <c r="O14" i="21" s="1"/>
  <c r="Q14" i="21" s="1"/>
  <c r="D14" i="21"/>
  <c r="I14" i="21" s="1"/>
  <c r="L14" i="21" s="1"/>
  <c r="P13" i="21"/>
  <c r="G13" i="21"/>
  <c r="O13" i="21" s="1"/>
  <c r="Q13" i="21" s="1"/>
  <c r="D13" i="21"/>
  <c r="I13" i="21" s="1"/>
  <c r="L13" i="21" s="1"/>
  <c r="R13" i="21" s="1"/>
  <c r="P9" i="21"/>
  <c r="D10" i="21"/>
  <c r="I10" i="21" s="1"/>
  <c r="L10" i="21" s="1"/>
  <c r="G10" i="21"/>
  <c r="O10" i="21" s="1"/>
  <c r="Q10" i="21" s="1"/>
  <c r="G9" i="21"/>
  <c r="O9" i="21" s="1"/>
  <c r="D9" i="21"/>
  <c r="T7" i="21"/>
  <c r="P5" i="21"/>
  <c r="G6" i="21"/>
  <c r="O6" i="21" s="1"/>
  <c r="Q6" i="21" s="1"/>
  <c r="G5" i="21"/>
  <c r="O5" i="21" s="1"/>
  <c r="D6" i="21"/>
  <c r="I6" i="21" s="1"/>
  <c r="L6" i="21" s="1"/>
  <c r="D5" i="21"/>
  <c r="I5" i="21" s="1"/>
  <c r="C42" i="21"/>
  <c r="G27" i="21" l="1"/>
  <c r="I42" i="22"/>
  <c r="I53" i="25"/>
  <c r="I55" i="25" s="1"/>
  <c r="D55" i="25"/>
  <c r="B55" i="25" s="1"/>
  <c r="I38" i="22"/>
  <c r="BD164" i="13"/>
  <c r="G36" i="24"/>
  <c r="O18" i="22"/>
  <c r="Q18" i="22" s="1"/>
  <c r="G20" i="22"/>
  <c r="L18" i="22"/>
  <c r="G11" i="22"/>
  <c r="Q13" i="24"/>
  <c r="R16" i="24"/>
  <c r="R18" i="24" s="1"/>
  <c r="L18" i="24"/>
  <c r="L13" i="24"/>
  <c r="R5" i="24"/>
  <c r="R13" i="24" s="1"/>
  <c r="E30" i="24" s="1"/>
  <c r="I18" i="24"/>
  <c r="AY2" i="13"/>
  <c r="AY5" i="13"/>
  <c r="O29" i="22"/>
  <c r="Q29" i="22" s="1"/>
  <c r="R29" i="22" s="1"/>
  <c r="Q10" i="22"/>
  <c r="R10" i="22" s="1"/>
  <c r="R11" i="22" s="1"/>
  <c r="I11" i="22"/>
  <c r="D11" i="22"/>
  <c r="R28" i="22"/>
  <c r="I19" i="22"/>
  <c r="L19" i="22" s="1"/>
  <c r="R19" i="22" s="1"/>
  <c r="BA165" i="13"/>
  <c r="G11" i="21"/>
  <c r="G25" i="21" s="1"/>
  <c r="R10" i="21"/>
  <c r="D11" i="21"/>
  <c r="R14" i="21"/>
  <c r="E27" i="21" s="1"/>
  <c r="I9" i="21"/>
  <c r="L9" i="21" s="1"/>
  <c r="O11" i="21"/>
  <c r="Q9" i="21"/>
  <c r="Q11" i="21" s="1"/>
  <c r="G7" i="21"/>
  <c r="G23" i="21" s="1"/>
  <c r="D7" i="21"/>
  <c r="R6" i="21"/>
  <c r="Q5" i="21"/>
  <c r="Q7" i="21" s="1"/>
  <c r="O7" i="21"/>
  <c r="J20" i="20"/>
  <c r="M20" i="20" s="1"/>
  <c r="S20" i="20" s="1"/>
  <c r="H20" i="20"/>
  <c r="P20" i="20" s="1"/>
  <c r="R20" i="20" s="1"/>
  <c r="H91" i="20"/>
  <c r="AD18" i="20"/>
  <c r="H74" i="20"/>
  <c r="M14" i="20"/>
  <c r="F76" i="20"/>
  <c r="Q16" i="20"/>
  <c r="E18" i="20"/>
  <c r="J18" i="20" s="1"/>
  <c r="M18" i="20" s="1"/>
  <c r="H18" i="20"/>
  <c r="P18" i="20" s="1"/>
  <c r="H15" i="20"/>
  <c r="H14" i="20"/>
  <c r="P14" i="20" s="1"/>
  <c r="H13" i="20"/>
  <c r="P13" i="20" s="1"/>
  <c r="E10" i="20"/>
  <c r="E14" i="20" s="1"/>
  <c r="J14" i="20" s="1"/>
  <c r="K38" i="20"/>
  <c r="J37" i="20"/>
  <c r="M37" i="20" s="1"/>
  <c r="J36" i="20"/>
  <c r="M36" i="20" s="1"/>
  <c r="H35" i="20"/>
  <c r="P35" i="20" s="1"/>
  <c r="E34" i="20"/>
  <c r="J34" i="20" s="1"/>
  <c r="K30" i="20"/>
  <c r="J28" i="20"/>
  <c r="M28" i="20" s="1"/>
  <c r="J29" i="20"/>
  <c r="M29" i="20" s="1"/>
  <c r="H29" i="20"/>
  <c r="H28" i="20"/>
  <c r="H27" i="20"/>
  <c r="P27" i="20" s="1"/>
  <c r="J27" i="20"/>
  <c r="M27" i="20" s="1"/>
  <c r="E31" i="20"/>
  <c r="J31" i="20" s="1"/>
  <c r="E30" i="20"/>
  <c r="E39" i="20"/>
  <c r="J39" i="20" s="1"/>
  <c r="H39" i="20"/>
  <c r="P39" i="20" s="1"/>
  <c r="R39" i="20" s="1"/>
  <c r="H40" i="20"/>
  <c r="H37" i="20"/>
  <c r="P37" i="20" s="1"/>
  <c r="H36" i="20"/>
  <c r="H34" i="20"/>
  <c r="P34" i="20" s="1"/>
  <c r="H33" i="20"/>
  <c r="H32" i="20"/>
  <c r="H31" i="20"/>
  <c r="P31" i="20" s="1"/>
  <c r="R31" i="20" s="1"/>
  <c r="H72" i="20" l="1"/>
  <c r="I40" i="22"/>
  <c r="I44" i="22" s="1"/>
  <c r="BC164" i="13"/>
  <c r="R18" i="22"/>
  <c r="R20" i="22" s="1"/>
  <c r="BA175" i="13" s="1"/>
  <c r="G44" i="22"/>
  <c r="G53" i="22" s="1"/>
  <c r="I20" i="22"/>
  <c r="C40" i="24"/>
  <c r="C42" i="24" s="1"/>
  <c r="E32" i="24"/>
  <c r="E36" i="24" s="1"/>
  <c r="G45" i="24" s="1"/>
  <c r="R23" i="24"/>
  <c r="Q11" i="22"/>
  <c r="O11" i="22"/>
  <c r="O20" i="22"/>
  <c r="Q20" i="22"/>
  <c r="L11" i="22"/>
  <c r="L20" i="22"/>
  <c r="R9" i="21"/>
  <c r="R11" i="21" s="1"/>
  <c r="E25" i="21" s="1"/>
  <c r="L11" i="21"/>
  <c r="I11" i="21"/>
  <c r="L5" i="21"/>
  <c r="I7" i="21"/>
  <c r="G29" i="21"/>
  <c r="E40" i="20"/>
  <c r="J40" i="20" s="1"/>
  <c r="M34" i="20"/>
  <c r="R35" i="20"/>
  <c r="H30" i="20"/>
  <c r="P36" i="20"/>
  <c r="R36" i="20" s="1"/>
  <c r="S36" i="20" s="1"/>
  <c r="E35" i="20"/>
  <c r="S39" i="20"/>
  <c r="J30" i="20"/>
  <c r="M30" i="20" s="1"/>
  <c r="R27" i="20"/>
  <c r="P29" i="20"/>
  <c r="R29" i="20" s="1"/>
  <c r="P28" i="20"/>
  <c r="R28" i="20" s="1"/>
  <c r="S28" i="20" s="1"/>
  <c r="H38" i="20"/>
  <c r="R34" i="20"/>
  <c r="S34" i="20" s="1"/>
  <c r="R37" i="20"/>
  <c r="S37" i="20" s="1"/>
  <c r="J53" i="20"/>
  <c r="J52" i="20"/>
  <c r="H56" i="20"/>
  <c r="H55" i="20"/>
  <c r="E54" i="20"/>
  <c r="H53" i="20"/>
  <c r="P53" i="20" s="1"/>
  <c r="H52" i="20"/>
  <c r="P52" i="20" s="1"/>
  <c r="J61" i="20"/>
  <c r="J60" i="20"/>
  <c r="J59" i="20"/>
  <c r="E62" i="20"/>
  <c r="H26" i="20"/>
  <c r="H45" i="20"/>
  <c r="H46" i="20"/>
  <c r="H47" i="20"/>
  <c r="H48" i="20"/>
  <c r="H49" i="20"/>
  <c r="H50" i="20"/>
  <c r="H57" i="20"/>
  <c r="H58" i="20"/>
  <c r="H59" i="20"/>
  <c r="H60" i="20"/>
  <c r="P60" i="20" s="1"/>
  <c r="R60" i="20" s="1"/>
  <c r="H61" i="20"/>
  <c r="P61" i="20" s="1"/>
  <c r="R61" i="20" s="1"/>
  <c r="H63" i="20"/>
  <c r="H64" i="20"/>
  <c r="H65" i="20"/>
  <c r="H25" i="20"/>
  <c r="C50" i="22" l="1"/>
  <c r="R5" i="21"/>
  <c r="R7" i="21" s="1"/>
  <c r="E23" i="21" s="1"/>
  <c r="E29" i="21" s="1"/>
  <c r="G38" i="21" s="1"/>
  <c r="L7" i="21"/>
  <c r="C33" i="21" s="1"/>
  <c r="C35" i="21" s="1"/>
  <c r="S61" i="20"/>
  <c r="J62" i="20"/>
  <c r="M62" i="20" s="1"/>
  <c r="P38" i="20"/>
  <c r="E38" i="20"/>
  <c r="J35" i="20"/>
  <c r="R38" i="20"/>
  <c r="R40" i="20"/>
  <c r="P30" i="20"/>
  <c r="S29" i="20"/>
  <c r="R30" i="20"/>
  <c r="S30" i="20" s="1"/>
  <c r="T34" i="20" s="1"/>
  <c r="S27" i="20"/>
  <c r="R53" i="20"/>
  <c r="S53" i="20" s="1"/>
  <c r="J54" i="20"/>
  <c r="M54" i="20" s="1"/>
  <c r="S60" i="20"/>
  <c r="H62" i="20"/>
  <c r="H76" i="20" s="1"/>
  <c r="H78" i="20" s="1"/>
  <c r="H54" i="20"/>
  <c r="P59" i="20"/>
  <c r="R59" i="20" s="1"/>
  <c r="S59" i="20" s="1"/>
  <c r="V9" i="20"/>
  <c r="Y9" i="20" s="1"/>
  <c r="J13" i="20"/>
  <c r="M13" i="20" s="1"/>
  <c r="R18" i="20"/>
  <c r="E15" i="20"/>
  <c r="H10" i="20"/>
  <c r="P10" i="20" s="1"/>
  <c r="R10" i="20" s="1"/>
  <c r="J7" i="20"/>
  <c r="J4" i="20"/>
  <c r="H8" i="20"/>
  <c r="P8" i="20" s="1"/>
  <c r="E8" i="20"/>
  <c r="E9" i="20" s="1"/>
  <c r="P15" i="20"/>
  <c r="P16" i="20" s="1"/>
  <c r="R16" i="20" s="1"/>
  <c r="H7" i="20"/>
  <c r="P7" i="20" s="1"/>
  <c r="E16" i="20" l="1"/>
  <c r="J15" i="20"/>
  <c r="M15" i="20" s="1"/>
  <c r="J16" i="20"/>
  <c r="M16" i="20" s="1"/>
  <c r="S16" i="20" s="1"/>
  <c r="S35" i="20"/>
  <c r="M35" i="20"/>
  <c r="D82" i="20" s="1"/>
  <c r="D84" i="20" s="1"/>
  <c r="J38" i="20"/>
  <c r="M38" i="20" s="1"/>
  <c r="S38" i="20" s="1"/>
  <c r="S64" i="20"/>
  <c r="S18" i="20"/>
  <c r="R52" i="20"/>
  <c r="P54" i="20"/>
  <c r="R62" i="20"/>
  <c r="S62" i="20" s="1"/>
  <c r="P62" i="20"/>
  <c r="J8" i="20"/>
  <c r="J9" i="20" s="1"/>
  <c r="M9" i="20" s="1"/>
  <c r="P9" i="20"/>
  <c r="R9" i="20" s="1"/>
  <c r="J35" i="19"/>
  <c r="J22" i="19"/>
  <c r="E35" i="19"/>
  <c r="T18" i="20" l="1"/>
  <c r="F72" i="20" s="1"/>
  <c r="AJ2" i="13"/>
  <c r="T39" i="20"/>
  <c r="F74" i="20" s="1"/>
  <c r="S40" i="20"/>
  <c r="M31" i="20"/>
  <c r="S31" i="20"/>
  <c r="R54" i="20"/>
  <c r="S54" i="20" s="1"/>
  <c r="S52" i="20"/>
  <c r="S56" i="20" s="1"/>
  <c r="S9" i="20"/>
  <c r="R50" i="20"/>
  <c r="P50" i="20"/>
  <c r="V45" i="20"/>
  <c r="J45" i="20"/>
  <c r="M45" i="20" s="1"/>
  <c r="P45" i="20"/>
  <c r="R45" i="20" s="1"/>
  <c r="V24" i="20"/>
  <c r="J24" i="20"/>
  <c r="M24" i="20" s="1"/>
  <c r="H24" i="20"/>
  <c r="P24" i="20" s="1"/>
  <c r="R24" i="20" s="1"/>
  <c r="AC24" i="20" s="1"/>
  <c r="U47" i="20"/>
  <c r="V4" i="20"/>
  <c r="M4" i="20"/>
  <c r="H4" i="20"/>
  <c r="F78" i="20" l="1"/>
  <c r="H87" i="20" s="1"/>
  <c r="AJ4" i="13"/>
  <c r="AJ3" i="13"/>
  <c r="P4" i="20"/>
  <c r="R4" i="20" s="1"/>
  <c r="J10" i="20"/>
  <c r="M10" i="20" s="1"/>
  <c r="S10" i="20" s="1"/>
  <c r="T11" i="20" s="1"/>
  <c r="V47" i="20"/>
  <c r="AC45" i="20"/>
  <c r="S24" i="20"/>
  <c r="S45" i="20"/>
  <c r="M47" i="20"/>
  <c r="S4" i="20" l="1"/>
  <c r="Y4" i="20" s="1"/>
  <c r="AC4" i="20"/>
  <c r="R47" i="20"/>
  <c r="S47" i="20" l="1"/>
  <c r="BA167" i="13" l="1"/>
  <c r="P14" i="18"/>
  <c r="P5" i="18"/>
  <c r="P10" i="18"/>
  <c r="F16" i="19"/>
  <c r="I14" i="18"/>
  <c r="J14" i="18" s="1"/>
  <c r="H14" i="18"/>
  <c r="L14" i="18" s="1"/>
  <c r="M14" i="18" s="1"/>
  <c r="U14" i="18" s="1"/>
  <c r="I10" i="18"/>
  <c r="J10" i="18" s="1"/>
  <c r="H10" i="18"/>
  <c r="L10" i="18" s="1"/>
  <c r="M10" i="18" s="1"/>
  <c r="U10" i="18" s="1"/>
  <c r="D16" i="19"/>
  <c r="H5" i="18"/>
  <c r="L5" i="18" s="1"/>
  <c r="I5" i="18"/>
  <c r="J5" i="18" s="1"/>
  <c r="C15" i="19"/>
  <c r="J16" i="18" l="1"/>
  <c r="BB164" i="13"/>
  <c r="BB166" i="13" s="1"/>
  <c r="BD166" i="13"/>
  <c r="P16" i="18"/>
  <c r="H16" i="18"/>
  <c r="N14" i="18"/>
  <c r="N10" i="18"/>
  <c r="M19" i="18"/>
  <c r="L19" i="18"/>
  <c r="O6" i="18"/>
  <c r="O16" i="18" s="1"/>
  <c r="H6" i="18"/>
  <c r="M5" i="18"/>
  <c r="U5" i="18" s="1"/>
  <c r="E6" i="18"/>
  <c r="BD171" i="13" l="1"/>
  <c r="BD172" i="13" s="1"/>
  <c r="BA166" i="13"/>
  <c r="BC166" i="13"/>
  <c r="BC171" i="13" s="1"/>
  <c r="BC172" i="13" s="1"/>
  <c r="M16" i="18"/>
  <c r="M6" i="18"/>
  <c r="N5" i="18"/>
  <c r="N6" i="18" s="1"/>
  <c r="J6" i="18"/>
  <c r="BA171" i="13" l="1"/>
  <c r="BA164" i="13"/>
  <c r="N16" i="18"/>
  <c r="D40" i="17"/>
  <c r="O8" i="17"/>
  <c r="D22" i="18" l="1"/>
  <c r="D24" i="18" s="1"/>
  <c r="I7" i="17"/>
  <c r="J7" i="17" s="1"/>
  <c r="H7" i="17"/>
  <c r="R6" i="17"/>
  <c r="I6" i="17"/>
  <c r="H6" i="17"/>
  <c r="P5" i="17"/>
  <c r="R5" i="17" s="1"/>
  <c r="L5" i="17"/>
  <c r="I5" i="17"/>
  <c r="H5" i="17"/>
  <c r="E5" i="17"/>
  <c r="E8" i="17" s="1"/>
  <c r="I15" i="17"/>
  <c r="M14" i="17"/>
  <c r="I14" i="17"/>
  <c r="J14" i="17" s="1"/>
  <c r="L13" i="17"/>
  <c r="I13" i="17"/>
  <c r="H14" i="17"/>
  <c r="H13" i="17"/>
  <c r="E13" i="17"/>
  <c r="E17" i="17" s="1"/>
  <c r="O21" i="17"/>
  <c r="I20" i="17"/>
  <c r="N14" i="17" l="1"/>
  <c r="H8" i="17"/>
  <c r="L7" i="17"/>
  <c r="M7" i="17" s="1"/>
  <c r="N7" i="17" s="1"/>
  <c r="C37" i="17" l="1"/>
  <c r="M25" i="17"/>
  <c r="L25" i="17"/>
  <c r="Q20" i="17"/>
  <c r="M20" i="17"/>
  <c r="M21" i="17" s="1"/>
  <c r="J20" i="17"/>
  <c r="J21" i="17" s="1"/>
  <c r="H20" i="17"/>
  <c r="H21" i="17" s="1"/>
  <c r="E21" i="17"/>
  <c r="J15" i="17"/>
  <c r="H15" i="17"/>
  <c r="M13" i="17"/>
  <c r="J13" i="17"/>
  <c r="J6" i="17"/>
  <c r="M6" i="17"/>
  <c r="M5" i="17"/>
  <c r="J5" i="17"/>
  <c r="M8" i="17" l="1"/>
  <c r="U8" i="17" s="1"/>
  <c r="N5" i="17"/>
  <c r="J8" i="17"/>
  <c r="U13" i="17"/>
  <c r="L15" i="17"/>
  <c r="M15" i="17" s="1"/>
  <c r="U15" i="17" s="1"/>
  <c r="H17" i="17"/>
  <c r="H22" i="17" s="1"/>
  <c r="N13" i="17"/>
  <c r="O13" i="17" s="1"/>
  <c r="N6" i="17"/>
  <c r="U21" i="17"/>
  <c r="J17" i="17"/>
  <c r="N20" i="17"/>
  <c r="J22" i="17" l="1"/>
  <c r="N8" i="17"/>
  <c r="R13" i="17"/>
  <c r="M17" i="17"/>
  <c r="N15" i="17"/>
  <c r="O15" i="17" s="1"/>
  <c r="O17" i="17" s="1"/>
  <c r="U17" i="17" l="1"/>
  <c r="M22" i="17"/>
  <c r="R15" i="17"/>
  <c r="T15" i="17"/>
  <c r="O22" i="17"/>
  <c r="B36" i="17"/>
  <c r="D28" i="17"/>
  <c r="D30" i="17" s="1"/>
  <c r="D36" i="17"/>
  <c r="E36" i="17" l="1"/>
  <c r="E37" i="17" s="1"/>
  <c r="AZ111" i="13" l="1"/>
  <c r="BN111" i="13" s="1"/>
  <c r="AZ87" i="13"/>
  <c r="BN87" i="13" s="1"/>
  <c r="D44" i="22" l="1"/>
  <c r="B44" i="22" s="1"/>
  <c r="D36" i="24"/>
  <c r="D29" i="21"/>
  <c r="BA177" i="13"/>
  <c r="BA179" i="13" s="1"/>
  <c r="E78" i="20"/>
  <c r="D91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Metzger</author>
    <author>Sabine</author>
    <author xml:space="preserve"> </author>
    <author>A.Metzger</author>
    <author>Andreas</author>
    <author>Eltern</author>
    <author>Metzger</author>
    <author>Sascha</author>
    <author>tc={10861D09-EAB5-4CCB-BC7C-F78661AFC244}</author>
  </authors>
  <commentList>
    <comment ref="O1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Ablesetag KW unbekannt, Mail vom 26.11.23</t>
        </r>
      </text>
    </comment>
    <comment ref="P1" authorId="0" shapeId="0" xr:uid="{00000000-0006-0000-0000-000002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Ablesetag KW unbekannt, Mail vom 26.11.23</t>
        </r>
      </text>
    </comment>
    <comment ref="AL1" authorId="0" shapeId="0" xr:uid="{00000000-0006-0000-0000-000003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regulär </t>
        </r>
      </text>
    </comment>
    <comment ref="BB1" authorId="1" shapeId="0" xr:uid="{00000000-0006-0000-0000-000004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ab 1.1.17. Mindestversicherung = 5000 zu 25,00JP 
</t>
        </r>
      </text>
    </comment>
    <comment ref="BC1" authorId="1" shapeId="0" xr:uid="{00000000-0006-0000-0000-000005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ab 1.1.17. Mindestversicherung = 5000 zu 25,00JP 
</t>
        </r>
      </text>
    </comment>
    <comment ref="BD1" authorId="2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 HHV wird ab 2009 nicht mehr in Rechnung gestellt.</t>
        </r>
      </text>
    </comment>
    <comment ref="BF1" authorId="1" shapeId="0" xr:uid="{00000000-0006-0000-0000-000007000000}">
      <text>
        <r>
          <rPr>
            <b/>
            <sz val="9"/>
            <color indexed="81"/>
            <rFont val="Segoe UI"/>
            <family val="2"/>
          </rPr>
          <t xml:space="preserve">Sabine:
Seit 2018 Solarvewrsicherung gesängt auf 25€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J1" authorId="1" shapeId="0" xr:uid="{00000000-0006-0000-0000-000008000000}">
      <text>
        <r>
          <rPr>
            <b/>
            <sz val="14"/>
            <color indexed="81"/>
            <rFont val="Segoe UI"/>
            <family val="2"/>
          </rPr>
          <t xml:space="preserve">gemäß RS vom 2010 je 15 Min =5€ 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J2" authorId="0" shapeId="0" xr:uid="{00000000-0006-0000-0000-000009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Kontrolle Pachtfläche/ neu</t>
        </r>
      </text>
    </comment>
    <comment ref="BB2" authorId="3" shapeId="0" xr:uid="{00000000-0006-0000-0000-00000A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geändert ab 16.1.11 !</t>
        </r>
      </text>
    </comment>
    <comment ref="AJ3" authorId="0" shapeId="0" xr:uid="{00000000-0006-0000-0000-00000B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Kontrolle Pachteinnahmen /neu</t>
        </r>
      </text>
    </comment>
    <comment ref="BB3" authorId="4" shapeId="0" xr:uid="{00000000-0006-0000-0000-00000C000000}">
      <text>
        <r>
          <rPr>
            <sz val="9"/>
            <color indexed="81"/>
            <rFont val="Tahoma"/>
            <family val="2"/>
          </rPr>
          <t xml:space="preserve">Kolso 9.12.23 auf 10.000
</t>
        </r>
      </text>
    </comment>
    <comment ref="AJ4" authorId="0" shapeId="0" xr:uid="{00000000-0006-0000-0000-00000D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Mehreinnahmen nach Umstellung der Pachtberechnung seit 2021</t>
        </r>
      </text>
    </comment>
    <comment ref="BB5" authorId="5" shapeId="0" xr:uid="{00000000-0006-0000-0000-000012000000}">
      <text>
        <r>
          <rPr>
            <b/>
            <sz val="9"/>
            <color indexed="81"/>
            <rFont val="Tahoma"/>
            <family val="2"/>
          </rPr>
          <t>Neu auf 10.000 ab 1.1.14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6" authorId="5" shapeId="0" xr:uid="{00000000-0006-0000-0000-000013000000}">
      <text>
        <r>
          <rPr>
            <b/>
            <sz val="9"/>
            <color indexed="81"/>
            <rFont val="Tahoma"/>
            <family val="2"/>
          </rPr>
          <t>Neu auf 10.000 ab 1.1.14</t>
        </r>
        <r>
          <rPr>
            <sz val="9"/>
            <color indexed="81"/>
            <rFont val="Tahoma"/>
            <family val="2"/>
          </rPr>
          <t xml:space="preserve">
Prskalo wünscht 10.000</t>
        </r>
      </text>
    </comment>
    <comment ref="BB7" authorId="1" shapeId="0" xr:uid="{00000000-0006-0000-0000-000014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FED Ab 1.4.2019</t>
        </r>
      </text>
    </comment>
    <comment ref="G10" authorId="1" shapeId="0" xr:uid="{00000000-0006-0000-0000-000019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Neue Adresse wurde am 1.7.2020 schriftl. mitgeteilt  </t>
        </r>
      </text>
    </comment>
    <comment ref="O11" authorId="6" shapeId="0" xr:uid="{00000000-0006-0000-0000-00001A000000}">
      <text>
        <r>
          <rPr>
            <b/>
            <sz val="9"/>
            <color indexed="81"/>
            <rFont val="Segoe UI"/>
            <charset val="1"/>
          </rPr>
          <t>Metzger:</t>
        </r>
        <r>
          <rPr>
            <sz val="9"/>
            <color indexed="81"/>
            <rFont val="Segoe UI"/>
            <charset val="1"/>
          </rPr>
          <t xml:space="preserve">
lt. Ablesung 2,940 - das würde negativverbrauch ergeben, daher von Me angepasst.! </t>
        </r>
      </text>
    </comment>
    <comment ref="BA12" authorId="6" shapeId="0" xr:uid="{00000000-0006-0000-0000-00001E000000}">
      <text>
        <r>
          <rPr>
            <b/>
            <sz val="9"/>
            <color indexed="81"/>
            <rFont val="Segoe UI"/>
            <charset val="1"/>
          </rPr>
          <t>Metzger:</t>
        </r>
        <r>
          <rPr>
            <sz val="9"/>
            <color indexed="81"/>
            <rFont val="Segoe UI"/>
            <charset val="1"/>
          </rPr>
          <t xml:space="preserve">
Christa Göldner 2024 bereits auf Abschlussrechnung </t>
        </r>
      </text>
    </comment>
    <comment ref="X13" authorId="1" shapeId="0" xr:uid="{00000000-0006-0000-0000-000023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Ablesung 11,91, dann wäre aber der Verbrauch "negativ" </t>
        </r>
      </text>
    </comment>
    <comment ref="AV15" authorId="6" shapeId="0" xr:uid="{00000000-0006-0000-0000-000024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Dez Anteil </t>
        </r>
      </text>
    </comment>
    <comment ref="AW15" authorId="6" shapeId="0" xr:uid="{00000000-0006-0000-0000-000025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 + Dez. Anteil </t>
        </r>
      </text>
    </comment>
    <comment ref="AZ15" authorId="6" shapeId="0" xr:uid="{00000000-0006-0000-0000-000026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Dez.24
 Anteil </t>
        </r>
      </text>
    </comment>
    <comment ref="BB15" authorId="4" shapeId="0" xr:uid="{00000000-0006-0000-0000-000027000000}">
      <text>
        <r>
          <rPr>
            <sz val="9"/>
            <color indexed="81"/>
            <rFont val="Tahoma"/>
            <family val="2"/>
          </rPr>
          <t xml:space="preserve">Lt. Telefonat am 20.12.12 10,000 ab 1.1.13
</t>
        </r>
      </text>
    </comment>
    <comment ref="BB17" authorId="1" shapeId="0" xr:uid="{00000000-0006-0000-0000-000028000000}">
      <text>
        <r>
          <rPr>
            <b/>
            <sz val="9"/>
            <color indexed="81"/>
            <rFont val="Segoe UI"/>
            <family val="2"/>
          </rPr>
          <t>Neu Ab 1.5.15.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V18" authorId="6" shapeId="0" xr:uid="{00000000-0006-0000-0000-00002B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Anteil Mai -Dez. 24 </t>
        </r>
      </text>
    </comment>
    <comment ref="AW18" authorId="6" shapeId="0" xr:uid="{00000000-0006-0000-0000-00002C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Anteil Mai -Dez. 24 </t>
        </r>
      </text>
    </comment>
    <comment ref="BB18" authorId="3" shapeId="0" xr:uid="{00000000-0006-0000-0000-00002D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neu ab 2011</t>
        </r>
      </text>
    </comment>
    <comment ref="BB19" authorId="3" shapeId="0" xr:uid="{00000000-0006-0000-0000-00002E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neu ab 2011</t>
        </r>
      </text>
    </comment>
    <comment ref="AV20" authorId="6" shapeId="0" xr:uid="{00000000-0006-0000-0000-00002F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Dez Anteil </t>
        </r>
      </text>
    </comment>
    <comment ref="AW20" authorId="6" shapeId="0" xr:uid="{00000000-0006-0000-0000-000030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Dez. Anteil </t>
        </r>
      </text>
    </comment>
    <comment ref="AZ20" authorId="6" shapeId="0" xr:uid="{00000000-0006-0000-0000-000031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Dez.24
 Anteil </t>
        </r>
      </text>
    </comment>
    <comment ref="BB20" authorId="6" shapeId="0" xr:uid="{00000000-0006-0000-0000-000032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NP seit Dez24 daher 10.000</t>
        </r>
      </text>
    </comment>
    <comment ref="AD21" authorId="3" shapeId="0" xr:uid="{00000000-0006-0000-0000-000033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Voi hubi abgelesen nach Ausbau!</t>
        </r>
      </text>
    </comment>
    <comment ref="AV22" authorId="6" shapeId="0" xr:uid="{00000000-0006-0000-0000-000034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Anteil juni -Dez. 24 </t>
        </r>
      </text>
    </comment>
    <comment ref="AW22" authorId="6" shapeId="0" xr:uid="{00000000-0006-0000-0000-000035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Anteil juni -Dez. 24 </t>
        </r>
      </text>
    </comment>
    <comment ref="BA22" authorId="6" shapeId="0" xr:uid="{00000000-0006-0000-0000-000036000000}">
      <text>
        <r>
          <rPr>
            <b/>
            <sz val="9"/>
            <color indexed="81"/>
            <rFont val="Segoe UI"/>
            <charset val="1"/>
          </rPr>
          <t>Metzger:</t>
        </r>
        <r>
          <rPr>
            <sz val="9"/>
            <color indexed="81"/>
            <rFont val="Segoe UI"/>
            <charset val="1"/>
          </rPr>
          <t xml:space="preserve">
Wiegand Benjamin</t>
        </r>
      </text>
    </comment>
    <comment ref="BA24" authorId="1" shapeId="0" xr:uid="{00000000-0006-0000-0000-000037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Fr. Papanheim seit 1.1.2020</t>
        </r>
      </text>
    </comment>
    <comment ref="BB25" authorId="0" shapeId="0" xr:uid="{00000000-0006-0000-0000-000038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2020 durch verein </t>
        </r>
      </text>
    </comment>
    <comment ref="AZ27" authorId="6" shapeId="0" xr:uid="{00000000-0006-0000-0000-000039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hat Beitrag für 24 schon bezahlt </t>
        </r>
      </text>
    </comment>
    <comment ref="BA27" authorId="6" shapeId="0" xr:uid="{00000000-0006-0000-0000-00003A000000}">
      <text>
        <r>
          <rPr>
            <b/>
            <sz val="9"/>
            <color indexed="81"/>
            <rFont val="Segoe UI"/>
            <charset val="1"/>
          </rPr>
          <t>Metzger:</t>
        </r>
        <r>
          <rPr>
            <sz val="9"/>
            <color indexed="81"/>
            <rFont val="Segoe UI"/>
            <charset val="1"/>
          </rPr>
          <t xml:space="preserve">
Ruckenbrod hat NOCH KEIN pm </t>
        </r>
      </text>
    </comment>
    <comment ref="BB27" authorId="3" shapeId="0" xr:uid="{00000000-0006-0000-0000-00003B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neu ab 1.1.2012</t>
        </r>
      </text>
    </comment>
    <comment ref="BH27" authorId="6" shapeId="0" xr:uid="{00000000-0006-0000-0000-00003C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Hat aufnahmegebühr 24 schon bez. </t>
        </r>
      </text>
    </comment>
    <comment ref="L29" authorId="1" shapeId="0" xr:uid="{00000000-0006-0000-0000-00003D000000}">
      <text>
        <r>
          <rPr>
            <b/>
            <sz val="9"/>
            <color indexed="81"/>
            <rFont val="Segoe UI"/>
            <family val="2"/>
          </rPr>
          <t>neu ab 2015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A32" authorId="0" shapeId="0" xr:uid="{00000000-0006-0000-0000-00003E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seit Pachtbergionn </t>
        </r>
      </text>
    </comment>
    <comment ref="BB33" authorId="3" shapeId="0" xr:uid="{00000000-0006-0000-0000-00003F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neu ab 2011</t>
        </r>
      </text>
    </comment>
    <comment ref="L35" authorId="7" shapeId="0" xr:uid="{00000000-0006-0000-0000-000040000000}">
      <text>
        <r>
          <rPr>
            <b/>
            <sz val="9"/>
            <color indexed="81"/>
            <rFont val="Segoe UI"/>
            <family val="2"/>
          </rPr>
          <t>Sascha:</t>
        </r>
        <r>
          <rPr>
            <sz val="9"/>
            <color indexed="81"/>
            <rFont val="Segoe UI"/>
            <family val="2"/>
          </rPr>
          <t xml:space="preserve">
Tochter</t>
        </r>
      </text>
    </comment>
    <comment ref="BB35" authorId="1" shapeId="0" xr:uid="{00000000-0006-0000-0000-000041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Keine FED !!!!!! </t>
        </r>
      </text>
    </comment>
    <comment ref="BB36" authorId="0" shapeId="0" xr:uid="{00000000-0006-0000-0000-000042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2.1.24 Calisakan ist über fehlende FED informiert. </t>
        </r>
      </text>
    </comment>
    <comment ref="BB37" authorId="5" shapeId="0" xr:uid="{00000000-0006-0000-0000-000043000000}">
      <text>
        <r>
          <rPr>
            <b/>
            <sz val="9"/>
            <color indexed="81"/>
            <rFont val="Tahoma"/>
            <family val="2"/>
          </rPr>
          <t>Neu auf 9000ab 30.6.14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1" shapeId="0" xr:uid="{00000000-0006-0000-0000-000044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Sohn der Pächterin Frank Ramminger </t>
        </r>
      </text>
    </comment>
    <comment ref="S38" authorId="0" shapeId="0" xr:uid="{00000000-0006-0000-0000-000045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Abgelesen 7,449 ergibt negativen Wert, daher geändert </t>
        </r>
      </text>
    </comment>
    <comment ref="T38" authorId="0" shapeId="0" xr:uid="{00000000-0006-0000-0000-000046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lt. Liste abgelesen: 7,443 
-&gt; dann negativer Verbrach, wert daher geändert </t>
        </r>
      </text>
    </comment>
    <comment ref="V38" authorId="1" shapeId="0" xr:uid="{00000000-0006-0000-0000-000047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Abgelesen 3.11.18 = 7,442 , entspricht negativ Verbrauch daher händisch geändert </t>
        </r>
      </text>
    </comment>
    <comment ref="W38" authorId="1" shapeId="0" xr:uid="{00000000-0006-0000-0000-000048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Ablesung2017: Zählerstand: 7,412, dann Verbauch 2017 negativ also händisch geänedert </t>
        </r>
      </text>
    </comment>
    <comment ref="AC39" authorId="4" shapeId="0" xr:uid="{00000000-0006-0000-0000-00004A000000}">
      <text>
        <r>
          <rPr>
            <b/>
            <sz val="9"/>
            <color indexed="81"/>
            <rFont val="Tahoma"/>
            <family val="2"/>
          </rPr>
          <t>Zählerstand war 2012 nicht ablesbar -daher 2013 berechnet von 2011-2013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9" authorId="0" shapeId="0" xr:uid="{00000000-0006-0000-0000-00004B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2021 durch verein 
Pal: auf 10.000 reduzieren ab 1.1.2023</t>
        </r>
      </text>
    </comment>
    <comment ref="BB40" authorId="5" shapeId="0" xr:uid="{00000000-0006-0000-0000-00004C000000}">
      <text>
        <r>
          <rPr>
            <b/>
            <sz val="9"/>
            <color indexed="81"/>
            <rFont val="Tahoma"/>
            <family val="2"/>
          </rPr>
          <t>Neu ab 30.6.14 druch Verein auf 10.000</t>
        </r>
      </text>
    </comment>
    <comment ref="BB41" authorId="5" shapeId="0" xr:uid="{00000000-0006-0000-0000-00004D000000}">
      <text>
        <r>
          <rPr>
            <b/>
            <sz val="9"/>
            <color indexed="81"/>
            <rFont val="Tahoma"/>
            <family val="2"/>
          </rPr>
          <t>Neu auf 10.000 ab 1.1.14</t>
        </r>
        <r>
          <rPr>
            <sz val="9"/>
            <color indexed="81"/>
            <rFont val="Tahoma"/>
            <family val="2"/>
          </rPr>
          <t xml:space="preserve">
Neupächer W- Müller will 10.000 weiterlaufen lassen 1.12.2021</t>
        </r>
      </text>
    </comment>
    <comment ref="AA43" authorId="5" shapeId="0" xr:uid="{00000000-0006-0000-0000-00004E000000}">
      <text>
        <r>
          <rPr>
            <b/>
            <sz val="9"/>
            <color indexed="81"/>
            <rFont val="Tahoma"/>
            <family val="2"/>
          </rPr>
          <t>Verbrauch nicht blausibel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4" authorId="5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Mail Kontakt von Sohn! : Bjoern Haering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45" authorId="0" shapeId="0" xr:uid="{00000000-0006-0000-0000-000050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Ehrenmitglied = Beitragsfrei! </t>
        </r>
      </text>
    </comment>
    <comment ref="BB45" authorId="3" shapeId="0" xr:uid="{00000000-0006-0000-0000-000051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geändert ab 10
.1.11 !</t>
        </r>
      </text>
    </comment>
    <comment ref="BB46" authorId="0" shapeId="0" xr:uid="{00000000-0006-0000-0000-000052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Neu ab 2010</t>
        </r>
      </text>
    </comment>
    <comment ref="BB47" authorId="0" shapeId="0" xr:uid="{00000000-0006-0000-0000-000053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Donin ist informiert 1.01.24 : läuft weiter. </t>
        </r>
      </text>
    </comment>
    <comment ref="BB49" authorId="5" shapeId="0" xr:uid="{00000000-0006-0000-0000-000054000000}">
      <text>
        <r>
          <rPr>
            <b/>
            <sz val="9"/>
            <color indexed="81"/>
            <rFont val="Tahoma"/>
            <family val="2"/>
          </rPr>
          <t>Neu auf 10.000 ab 1.1.14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50" authorId="6" shapeId="0" xr:uid="{00000000-0006-0000-0000-000055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Anteil Mai -Dez. 24</t>
        </r>
      </text>
    </comment>
    <comment ref="AW50" authorId="6" shapeId="0" xr:uid="{00000000-0006-0000-0000-000056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Anteil Mai -Dez. 24</t>
        </r>
      </text>
    </comment>
    <comment ref="BB50" authorId="6" shapeId="0" xr:uid="{00000000-0006-0000-0000-000057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auf 10.000 seit ^.5.24 Weidler </t>
        </r>
      </text>
    </comment>
    <comment ref="BC50" authorId="6" shapeId="0" xr:uid="{00000000-0006-0000-0000-000058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für 24 +25! </t>
        </r>
      </text>
    </comment>
    <comment ref="BD50" authorId="6" shapeId="0" xr:uid="{00000000-0006-0000-0000-000059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für 24 +25
</t>
        </r>
      </text>
    </comment>
    <comment ref="T51" authorId="0" shapeId="0" xr:uid="{00000000-0006-0000-0000-00005A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Zählerstand am 20.10.2020</t>
        </r>
      </text>
    </comment>
    <comment ref="BB51" authorId="3" shapeId="0" xr:uid="{00000000-0006-0000-0000-00005B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Neu ab 2011</t>
        </r>
      </text>
    </comment>
    <comment ref="BM51" authorId="0" shapeId="0" xr:uid="{00000000-0006-0000-0000-00005C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8*15,00 werden nicht berechnet, da am VH Sanitär geholfen! </t>
        </r>
      </text>
    </comment>
    <comment ref="AV52" authorId="6" shapeId="0" xr:uid="{00000000-0006-0000-0000-00005D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W52" authorId="6" shapeId="0" xr:uid="{00000000-0006-0000-0000-00005E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B52" authorId="3" shapeId="0" xr:uid="{00000000-0006-0000-0000-00005F000000}">
      <text>
        <r>
          <rPr>
            <b/>
            <sz val="8"/>
            <color indexed="81"/>
            <rFont val="Tahoma"/>
            <family val="2"/>
          </rPr>
          <t xml:space="preserve">neu seit Gartenübernahme Wandelt-Voigt Mai12 
2024/  läuft bei Saphic weiter </t>
        </r>
      </text>
    </comment>
    <comment ref="BA53" authorId="0" shapeId="0" xr:uid="{00000000-0006-0000-0000-000060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Partnerin seit Pachtbeginn </t>
        </r>
      </text>
    </comment>
    <comment ref="BB53" authorId="0" shapeId="0" xr:uid="{00000000-0006-0000-0000-00006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neu seit Aug. 2020 </t>
        </r>
      </text>
    </comment>
    <comment ref="L55" authorId="1" shapeId="0" xr:uid="{00000000-0006-0000-0000-000062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E-Mail von Partnermitglied, da kaum Deutschkenntnisse </t>
        </r>
      </text>
    </comment>
    <comment ref="S55" authorId="0" shapeId="0" xr:uid="{00000000-0006-0000-0000-000063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Abgelesen : 
25,608 ergibt negtiven wert daher geändert von S. Me </t>
        </r>
      </text>
    </comment>
    <comment ref="BB55" authorId="5" shapeId="0" xr:uid="{00000000-0006-0000-0000-000064000000}">
      <text>
        <r>
          <rPr>
            <b/>
            <sz val="9"/>
            <color indexed="81"/>
            <rFont val="Tahoma"/>
            <family val="2"/>
          </rPr>
          <t>ab 22.1.214</t>
        </r>
        <r>
          <rPr>
            <sz val="9"/>
            <color indexed="81"/>
            <rFont val="Tahoma"/>
            <family val="2"/>
          </rPr>
          <t xml:space="preserve">
an 1.1.2020 reduziert auf 5.000€ Smykaova </t>
        </r>
      </text>
    </comment>
    <comment ref="F57" authorId="1" shapeId="0" xr:uid="{00000000-0006-0000-0000-000065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Wolfgang Rieder im Dez 2016 verstorben </t>
        </r>
      </text>
    </comment>
    <comment ref="L57" authorId="1" shapeId="0" xr:uid="{00000000-0006-0000-0000-000066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Mailadressse von Tochter</t>
        </r>
      </text>
    </comment>
    <comment ref="AA57" authorId="5" shapeId="0" xr:uid="{00000000-0006-0000-0000-000067000000}">
      <text>
        <r>
          <rPr>
            <b/>
            <sz val="9"/>
            <color indexed="81"/>
            <rFont val="Tahoma"/>
            <family val="2"/>
          </rPr>
          <t xml:space="preserve">Neue Uhr im april 2014= 
Verbrauch/Endstand neue Uhr-Anfangszählerstand von 0,053 + Endtandstand alte Uhr von 15,478
 - Endstand 10/13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58" authorId="0" shapeId="0" xr:uid="{00000000-0006-0000-0000-000068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lt. Liste abgelesen: 0,049, dann negativer VerbRAUCH DAHER Auf NULL gesetzt. </t>
        </r>
      </text>
    </comment>
    <comment ref="W58" authorId="1" shapeId="0" xr:uid="{00000000-0006-0000-0000-000069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Ablesung Zählerstand 2017: 0,046- Dann Negativ Verbracuh, daher händisch geändert </t>
        </r>
      </text>
    </comment>
    <comment ref="BB58" authorId="0" shapeId="0" xr:uid="{00000000-0006-0000-0000-00006A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Erhöht v. Pritsch zum 1.1.2022 auf 10.000</t>
        </r>
      </text>
    </comment>
    <comment ref="AW59" authorId="6" shapeId="0" xr:uid="{00000000-0006-0000-0000-00006C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Pachtfrei für 24 da extrem vernachlässigt </t>
        </r>
      </text>
    </comment>
    <comment ref="BA60" authorId="0" shapeId="0" xr:uid="{00000000-0006-0000-0000-00006D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Partnerin seit Pachtbeginn </t>
        </r>
      </text>
    </comment>
    <comment ref="BB60" authorId="1" shapeId="0" xr:uid="{00000000-0006-0000-0000-00006E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Erhöht durch Bunte von 6000 auf 9500 ab 1.1.18</t>
        </r>
      </text>
    </comment>
    <comment ref="BB61" authorId="3" shapeId="0" xr:uid="{00000000-0006-0000-0000-00006F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Nei ab 2011</t>
        </r>
      </text>
    </comment>
    <comment ref="BB62" authorId="0" shapeId="0" xr:uid="{00000000-0006-0000-0000-000070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Neu Filipovic ab 1-4-2020 </t>
        </r>
      </text>
    </comment>
    <comment ref="BC62" authorId="0" shapeId="0" xr:uid="{00000000-0006-0000-0000-00007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bis 1. Feb. 2023</t>
        </r>
      </text>
    </comment>
    <comment ref="BB63" authorId="1" shapeId="0" xr:uid="{00000000-0006-0000-0000-000075000000}">
      <text>
        <r>
          <rPr>
            <b/>
            <sz val="9"/>
            <color indexed="81"/>
            <rFont val="Segoe UI"/>
            <family val="2"/>
          </rPr>
          <t>Neu ab 1.1.15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P64" authorId="6" shapeId="0" xr:uid="{00000000-0006-0000-0000-000076000000}">
      <text>
        <r>
          <rPr>
            <b/>
            <sz val="9"/>
            <color indexed="81"/>
            <rFont val="Segoe UI"/>
            <charset val="1"/>
          </rPr>
          <t>Metzger:</t>
        </r>
        <r>
          <rPr>
            <sz val="9"/>
            <color indexed="81"/>
            <rFont val="Segoe UI"/>
            <charset val="1"/>
          </rPr>
          <t xml:space="preserve">
5, 41 abgelesen - geändert da sonst negativ Wert /me</t>
        </r>
      </text>
    </comment>
    <comment ref="AA65" authorId="5" shapeId="0" xr:uid="{00000000-0006-0000-0000-000077000000}">
      <text>
        <r>
          <rPr>
            <b/>
            <sz val="9"/>
            <color indexed="81"/>
            <rFont val="Tahoma"/>
            <family val="2"/>
          </rPr>
          <t xml:space="preserve">Neue Uhr im Juni 2014= 
Verbrauch/Endstand neue Uhr-Anfangszählerstand von 0,036 + Endtandstand alte Uhr von 44,495  - Endstand 10/13
</t>
        </r>
        <r>
          <rPr>
            <sz val="9"/>
            <color indexed="81"/>
            <rFont val="Tahoma"/>
            <family val="2"/>
          </rPr>
          <t xml:space="preserve">
Großer Wasserverlust, durch Riss und Undichtheit an der Uhr! </t>
        </r>
      </text>
    </comment>
    <comment ref="AV66" authorId="6" shapeId="0" xr:uid="{00000000-0006-0000-0000-000079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Dez Anteil </t>
        </r>
      </text>
    </comment>
    <comment ref="AW66" authorId="6" shapeId="0" xr:uid="{00000000-0006-0000-0000-00007A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Dez. Anteil </t>
        </r>
      </text>
    </comment>
    <comment ref="AZ66" authorId="6" shapeId="0" xr:uid="{00000000-0006-0000-0000-00007B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Dez.24
 Anteil </t>
        </r>
      </text>
    </comment>
    <comment ref="BB66" authorId="4" shapeId="0" xr:uid="{00000000-0006-0000-0000-00007C000000}">
      <text>
        <r>
          <rPr>
            <sz val="9"/>
            <color indexed="81"/>
            <rFont val="Tahoma"/>
            <family val="2"/>
          </rPr>
          <t xml:space="preserve">Lt. Telefonat am 20.12.12 10,000 ab 1.1.13
</t>
        </r>
      </text>
    </comment>
    <comment ref="G67" authorId="6" shapeId="0" xr:uid="{00000000-0006-0000-0000-00007D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Neu seit April 24 über A. Me. </t>
        </r>
      </text>
    </comment>
    <comment ref="BB67" authorId="1" shapeId="0" xr:uid="{00000000-0006-0000-0000-00007E000000}">
      <text>
        <r>
          <rPr>
            <b/>
            <sz val="9"/>
            <color indexed="81"/>
            <rFont val="Segoe UI"/>
            <family val="2"/>
          </rPr>
          <t>Neu ab 1.1.15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B68" authorId="4" shapeId="0" xr:uid="{00000000-0006-0000-0000-00007F000000}">
      <text>
        <r>
          <rPr>
            <b/>
            <sz val="9"/>
            <color indexed="81"/>
            <rFont val="Tahoma"/>
            <family val="2"/>
          </rPr>
          <t>Seit 1.1.14 / Dick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9" authorId="1" shapeId="0" xr:uid="{00000000-0006-0000-0000-000080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neue Adresse 2015</t>
        </r>
      </text>
    </comment>
    <comment ref="X69" authorId="1" shapeId="0" xr:uid="{00000000-0006-0000-0000-000081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Gemäß Pächterangaben in Mail vom 14.04.17 geändert </t>
        </r>
      </text>
    </comment>
    <comment ref="AA69" authorId="5" shapeId="0" xr:uid="{00000000-0006-0000-0000-000082000000}">
      <text>
        <r>
          <rPr>
            <b/>
            <sz val="9"/>
            <color indexed="81"/>
            <rFont val="Tahoma"/>
            <family val="2"/>
          </rPr>
          <t xml:space="preserve">Neue Uhr im April  2014:
eue Uhr im april 2014= 
Verbrauch/Endstand neue Uhr-Anfangszählerstand von 0,065 + Endtandstand alte Uhr von 23,290  - Endstand 10/13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72" authorId="0" shapeId="0" xr:uid="{00000000-0006-0000-0000-000083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NP Tamiz will zum 31.12.23 FED kündigen </t>
        </r>
      </text>
    </comment>
    <comment ref="L73" authorId="7" shapeId="0" xr:uid="{00000000-0006-0000-0000-000084000000}">
      <text>
        <r>
          <rPr>
            <b/>
            <sz val="9"/>
            <color indexed="81"/>
            <rFont val="Segoe UI"/>
            <family val="2"/>
          </rPr>
          <t>Sascha:</t>
        </r>
        <r>
          <rPr>
            <sz val="9"/>
            <color indexed="81"/>
            <rFont val="Segoe UI"/>
            <family val="2"/>
          </rPr>
          <t xml:space="preserve">
Tochter</t>
        </r>
      </text>
    </comment>
    <comment ref="BB73" authorId="5" shapeId="0" xr:uid="{00000000-0006-0000-0000-000085000000}">
      <text>
        <r>
          <rPr>
            <sz val="9"/>
            <color indexed="81"/>
            <rFont val="Tahoma"/>
            <family val="2"/>
          </rPr>
          <t xml:space="preserve">reduziert am 22.11.13 auf 1.1.14
</t>
        </r>
      </text>
    </comment>
    <comment ref="BC75" authorId="6" shapeId="0" xr:uid="{00000000-0006-0000-0000-000090000000}">
      <text>
        <r>
          <rPr>
            <b/>
            <sz val="9"/>
            <color indexed="81"/>
            <rFont val="Segoe UI"/>
            <charset val="1"/>
          </rPr>
          <t>Metzger:</t>
        </r>
        <r>
          <rPr>
            <sz val="9"/>
            <color indexed="81"/>
            <rFont val="Segoe UI"/>
            <charset val="1"/>
          </rPr>
          <t xml:space="preserve">
Neu seit 1.2.25 Bentrup </t>
        </r>
      </text>
    </comment>
    <comment ref="F78" authorId="7" shapeId="0" xr:uid="{00000000-0006-0000-0000-000091000000}">
      <text>
        <r>
          <rPr>
            <b/>
            <sz val="9"/>
            <color indexed="81"/>
            <rFont val="Segoe UI"/>
            <charset val="1"/>
          </rPr>
          <t>Sascha:</t>
        </r>
        <r>
          <rPr>
            <sz val="9"/>
            <color indexed="81"/>
            <rFont val="Segoe UI"/>
            <charset val="1"/>
          </rPr>
          <t xml:space="preserve">
Pächter S 12 seit 1.12.2023 - Mitglied im Verein seit 15.6.2013</t>
        </r>
      </text>
    </comment>
    <comment ref="BB79" authorId="4" shapeId="0" xr:uid="{00000000-0006-0000-0000-000092000000}">
      <text>
        <r>
          <rPr>
            <b/>
            <sz val="9"/>
            <color indexed="81"/>
            <rFont val="Tahoma"/>
            <family val="2"/>
          </rPr>
          <t>seit 18.03.13 /Suhren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1" authorId="6" shapeId="0" xr:uid="{00000000-0006-0000-0000-000093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Neue Anschrift am 20.01.25 ! </t>
        </r>
      </text>
    </comment>
    <comment ref="BB81" authorId="0" shapeId="0" xr:uid="{00000000-0006-0000-0000-000094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 2.1.24 Neupächter tutkuner ist über unterversicherung informiert, bislang keine Reaktion, FED läuft weiter…. Neu 10.000 ab 1.1.25 </t>
        </r>
      </text>
    </comment>
    <comment ref="T82" authorId="0" shapeId="0" xr:uid="{00000000-0006-0000-0000-000095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Im Wasserbuch wurden 85,555 eingetragen  und so abgerechent. Pächterin hat reklamiert, daher erfolgte am 24.1.2021 eine korrektur /Me</t>
        </r>
      </text>
    </comment>
    <comment ref="BB85" authorId="3" shapeId="0" xr:uid="{00000000-0006-0000-0000-000099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Neu ab 2011</t>
        </r>
      </text>
    </comment>
    <comment ref="G87" authorId="1" shapeId="0" xr:uid="{00000000-0006-0000-0000-00009A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Mail 2.7.17</t>
        </r>
      </text>
    </comment>
    <comment ref="BB87" authorId="4" shapeId="0" xr:uid="{00000000-0006-0000-0000-00009B000000}">
      <text>
        <r>
          <rPr>
            <b/>
            <sz val="9"/>
            <color indexed="81"/>
            <rFont val="Tahoma"/>
            <family val="2"/>
          </rPr>
          <t>gekündigt ab 31.12.12 bei Gartenübernahme durch Kassner!</t>
        </r>
      </text>
    </comment>
    <comment ref="G89" authorId="5" shapeId="0" xr:uid="{00000000-0006-0000-0000-00009C000000}">
      <text>
        <r>
          <rPr>
            <b/>
            <sz val="9"/>
            <color indexed="81"/>
            <rFont val="Tahoma"/>
            <family val="2"/>
          </rPr>
          <t>Neu seit Mai 2015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9" authorId="1" shapeId="0" xr:uid="{00000000-0006-0000-0000-00009D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am 7.7.18 Telefonnummer bestätigt. </t>
        </r>
      </text>
    </comment>
    <comment ref="BB90" authorId="0" shapeId="0" xr:uid="{00000000-0006-0000-0000-00009E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Neu seit 1.1.20</t>
        </r>
      </text>
    </comment>
    <comment ref="BB91" authorId="3" shapeId="0" xr:uid="{00000000-0006-0000-0000-00009F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Neu ab 2011</t>
        </r>
      </text>
    </comment>
    <comment ref="BB92" authorId="5" shapeId="0" xr:uid="{00000000-0006-0000-0000-0000A0000000}">
      <text>
        <r>
          <rPr>
            <b/>
            <sz val="9"/>
            <color indexed="81"/>
            <rFont val="Tahoma"/>
            <family val="2"/>
          </rPr>
          <t>ab 1.1.2014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93" authorId="4" shapeId="0" xr:uid="{00000000-0006-0000-0000-0000A1000000}">
      <text>
        <r>
          <rPr>
            <b/>
            <sz val="9"/>
            <color indexed="81"/>
            <rFont val="Tahoma"/>
            <family val="2"/>
          </rPr>
          <t>Seit 1.1.15/Fischer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94" authorId="0" shapeId="0" xr:uid="{00000000-0006-0000-0000-0000A2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läuft mit 7500 bei Berg bei
weiter </t>
        </r>
      </text>
    </comment>
    <comment ref="BB97" authorId="3" shapeId="0" xr:uid="{00000000-0006-0000-0000-0000A3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neu ab 1.1.2012</t>
        </r>
      </text>
    </comment>
    <comment ref="BB98" authorId="0" shapeId="0" xr:uid="{00000000-0006-0000-0000-0000A4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läuft bei Kara MIT 5000 WEITER</t>
        </r>
      </text>
    </comment>
    <comment ref="BB99" authorId="0" shapeId="0" xr:uid="{00000000-0006-0000-0000-0000A5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lt. Mail vin Jan 22 /Cörlin auf 10.000</t>
        </r>
      </text>
    </comment>
    <comment ref="BB100" authorId="1" shapeId="0" xr:uid="{00000000-0006-0000-0000-0000A6000000}">
      <text>
        <r>
          <rPr>
            <b/>
            <sz val="9"/>
            <color indexed="81"/>
            <rFont val="Segoe UI"/>
            <family val="2"/>
          </rPr>
          <t>1.5.15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A101" authorId="5" shapeId="0" xr:uid="{00000000-0006-0000-0000-0000A7000000}">
      <text>
        <r>
          <rPr>
            <sz val="9"/>
            <color indexed="81"/>
            <rFont val="Tahoma"/>
            <family val="2"/>
          </rPr>
          <t xml:space="preserve">Neue Uhr ab Sasionbeginn 2014
</t>
        </r>
      </text>
    </comment>
    <comment ref="AR101" authorId="0" shapeId="0" xr:uid="{00000000-0006-0000-0000-0000A8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Pachtfläche 5,00 ar. / wurde bis 1.1.21 mit 6 ar zu groß angegeben </t>
        </r>
      </text>
    </comment>
    <comment ref="BB101" authorId="0" shapeId="0" xr:uid="{00000000-0006-0000-0000-0000A9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Neu ab 1.1.23 übernommemen ab 1.1.24 !!!</t>
        </r>
      </text>
    </comment>
    <comment ref="AA102" authorId="5" shapeId="0" xr:uid="{00000000-0006-0000-0000-0000AA000000}">
      <text>
        <r>
          <rPr>
            <b/>
            <sz val="9"/>
            <color indexed="81"/>
            <rFont val="Tahoma"/>
            <family val="2"/>
          </rPr>
          <t>Neue Uhr ab Saisonbeginn 2014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02" authorId="5" shapeId="0" xr:uid="{00000000-0006-0000-0000-0000AB000000}">
      <text>
        <r>
          <rPr>
            <b/>
            <sz val="9"/>
            <color indexed="81"/>
            <rFont val="Tahoma"/>
            <family val="2"/>
          </rPr>
          <t>Neu ab 12.8.2014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3" authorId="1" shapeId="0" xr:uid="{00000000-0006-0000-0000-0000AC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wuwe_2000@yahoo.de Mail von Sohn </t>
        </r>
      </text>
    </comment>
    <comment ref="BB103" authorId="3" shapeId="0" xr:uid="{00000000-0006-0000-0000-0000AD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neu ab 1.1.2012</t>
        </r>
      </text>
    </comment>
    <comment ref="BB104" authorId="3" shapeId="0" xr:uid="{00000000-0006-0000-0000-0000AE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Neu ab 2011</t>
        </r>
      </text>
    </comment>
    <comment ref="BB105" authorId="4" shapeId="0" xr:uid="{00000000-0006-0000-0000-0000AF000000}">
      <text>
        <r>
          <rPr>
            <b/>
            <sz val="9"/>
            <color indexed="81"/>
            <rFont val="Tahoma"/>
            <family val="2"/>
          </rPr>
          <t>Neu ab 1.1.13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09" authorId="1" shapeId="0" xr:uid="{00000000-0006-0000-0000-0000B0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bei Ablesung wurde kein Kommar eingetragen: 1980, daher händisch 1,98 gemäß vorjahren eingesetzt. </t>
        </r>
      </text>
    </comment>
    <comment ref="S110" authorId="0" shapeId="0" xr:uid="{00000000-0006-0000-0000-0000B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abgelesen: 9,829, dann negativer Verbrauch, daher auf NULL gesetzt</t>
        </r>
      </text>
    </comment>
    <comment ref="T110" authorId="0" shapeId="0" xr:uid="{00000000-0006-0000-0000-0000B2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abgelesen: 9,829, dann negativer Verbrauch, daher auf NULL gesetzt</t>
        </r>
      </text>
    </comment>
    <comment ref="AZ110" authorId="1" shapeId="0" xr:uid="{00000000-0006-0000-0000-0000B3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Partner seit 1.12.16</t>
        </r>
      </text>
    </comment>
    <comment ref="BB110" authorId="3" shapeId="0" xr:uid="{00000000-0006-0000-0000-0000B4000000}">
      <text>
        <r>
          <rPr>
            <sz val="8"/>
            <color indexed="81"/>
            <rFont val="Tahoma"/>
            <family val="2"/>
          </rPr>
          <t xml:space="preserve">neu ab 1.1.14/GodehRDT
FED gekündigt ab 1.01.23 </t>
        </r>
      </text>
    </comment>
    <comment ref="BA111" authorId="1" shapeId="0" xr:uid="{00000000-0006-0000-0000-0000B5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Partner seit 1.12.16</t>
        </r>
      </text>
    </comment>
    <comment ref="BB111" authorId="1" shapeId="0" xr:uid="{00000000-0006-0000-0000-0000B6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Theissen FED ab 1.1.18 am 1.11.17 per Mail an uns </t>
        </r>
      </text>
    </comment>
    <comment ref="BB112" authorId="4" shapeId="0" xr:uid="{00000000-0006-0000-0000-0000B7000000}">
      <text>
        <r>
          <rPr>
            <b/>
            <sz val="9"/>
            <color indexed="81"/>
            <rFont val="Tahoma"/>
            <family val="2"/>
          </rPr>
          <t>Neu seit 1.3.13/Böhler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3" authorId="4" shapeId="0" xr:uid="{00000000-0006-0000-0000-0000B8000000}">
      <text>
        <r>
          <rPr>
            <b/>
            <sz val="9"/>
            <color indexed="81"/>
            <rFont val="Tahoma"/>
            <family val="2"/>
          </rPr>
          <t>Mitglied seit 2002
Pächterin seit 1.12.12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14" authorId="6" shapeId="0" xr:uid="{00000000-0006-0000-0000-0000B9000000}">
      <text>
        <r>
          <rPr>
            <b/>
            <sz val="9"/>
            <color indexed="81"/>
            <rFont val="Segoe UI"/>
            <charset val="1"/>
          </rPr>
          <t>Metzger:</t>
        </r>
        <r>
          <rPr>
            <sz val="9"/>
            <color indexed="81"/>
            <rFont val="Segoe UI"/>
            <charset val="1"/>
          </rPr>
          <t xml:space="preserve">
geäntert lt Mail vom 12.01.24 Äreduzierungswunsch vom 2022 Hirelle von 10.000 auf 5000</t>
        </r>
      </text>
    </comment>
    <comment ref="L115" authorId="1" shapeId="0" xr:uid="{00000000-0006-0000-0000-0000BA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Tochter des Pächteres 
Tülay Caliskan &lt;</t>
        </r>
      </text>
    </comment>
    <comment ref="BB115" authorId="3" shapeId="0" xr:uid="{00000000-0006-0000-0000-0000BB000000}">
      <text>
        <r>
          <rPr>
            <b/>
            <sz val="8"/>
            <color indexed="81"/>
            <rFont val="Tahoma"/>
            <family val="2"/>
          </rPr>
          <t>A.Metzger:</t>
        </r>
        <r>
          <rPr>
            <sz val="8"/>
            <color indexed="81"/>
            <rFont val="Tahoma"/>
            <family val="2"/>
          </rPr>
          <t xml:space="preserve">
ab 1.1.2011 von 10.000VS auf 8.500VS reduziert</t>
        </r>
      </text>
    </comment>
    <comment ref="BB116" authorId="1" shapeId="0" xr:uid="{00000000-0006-0000-0000-0000BC000000}">
      <text>
        <r>
          <rPr>
            <b/>
            <sz val="9"/>
            <color indexed="81"/>
            <rFont val="Segoe UI"/>
            <family val="2"/>
          </rPr>
          <t>ab 1.1.16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118" authorId="1" shapeId="0" xr:uid="{00000000-0006-0000-0000-0000BD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Mail von Sohn </t>
        </r>
      </text>
    </comment>
    <comment ref="BB119" authorId="4" shapeId="0" xr:uid="{00000000-0006-0000-0000-0000BE000000}">
      <text>
        <r>
          <rPr>
            <b/>
            <sz val="9"/>
            <color indexed="81"/>
            <rFont val="Tahoma"/>
            <family val="2"/>
          </rPr>
          <t>Seite Neue Hütte Juli 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21" authorId="4" shapeId="0" xr:uid="{00000000-0006-0000-0000-0000BF000000}">
      <text>
        <r>
          <rPr>
            <b/>
            <sz val="9"/>
            <color indexed="81"/>
            <rFont val="Tahoma"/>
            <family val="2"/>
          </rPr>
          <t>Neu Ab 1.1.14/Ringel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22" authorId="4" shapeId="0" xr:uid="{00000000-0006-0000-0000-0000C0000000}">
      <text>
        <r>
          <rPr>
            <b/>
            <sz val="9"/>
            <color indexed="81"/>
            <rFont val="Tahoma"/>
            <family val="2"/>
          </rPr>
          <t>Neu ab 25.11.13 /per mail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23" authorId="0" shapeId="0" xr:uid="{00000000-0006-0000-0000-0000C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Ödes lt. Mail vom 6.12.22 übernommen ab. 1.1.24 </t>
        </r>
      </text>
    </comment>
    <comment ref="BB124" authorId="1" shapeId="0" xr:uid="{00000000-0006-0000-0000-0000C2000000}">
      <text>
        <r>
          <rPr>
            <b/>
            <sz val="9"/>
            <color indexed="81"/>
            <rFont val="Segoe UI"/>
            <family val="2"/>
          </rPr>
          <t>neu ab 1.1.16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X125" authorId="1" shapeId="0" xr:uid="{00000000-0006-0000-0000-0000C3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 Ablesebuch 52,937, dann wäre Anlagenschwund "negativ!" </t>
        </r>
      </text>
    </comment>
    <comment ref="BB125" authorId="4" shapeId="0" xr:uid="{00000000-0006-0000-0000-0000C4000000}">
      <text>
        <r>
          <rPr>
            <b/>
            <sz val="9"/>
            <color indexed="81"/>
            <rFont val="Tahoma"/>
            <family val="2"/>
          </rPr>
          <t>Seit Gartenübern. Zoibel April 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7" authorId="1" shapeId="0" xr:uid="{00000000-0006-0000-0000-0000C5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Mail vom 6.6.19</t>
        </r>
      </text>
    </comment>
    <comment ref="BB127" authorId="5" shapeId="0" xr:uid="{00000000-0006-0000-0000-0000C6000000}">
      <text>
        <r>
          <rPr>
            <b/>
            <sz val="9"/>
            <color indexed="81"/>
            <rFont val="Tahoma"/>
            <family val="2"/>
          </rPr>
          <t>Neu ab 22.12.14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8" authorId="1" shapeId="0" xr:uid="{00000000-0006-0000-0000-0000C7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 seit 2.8.18 </t>
        </r>
      </text>
    </comment>
    <comment ref="H128" authorId="1" shapeId="0" xr:uid="{00000000-0006-0000-0000-0000C8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 seit 2.8.18 </t>
        </r>
      </text>
    </comment>
    <comment ref="L128" authorId="1" shapeId="0" xr:uid="{00000000-0006-0000-0000-0000C9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 seit 2.8.18 </t>
        </r>
      </text>
    </comment>
    <comment ref="BB128" authorId="1" shapeId="0" xr:uid="{00000000-0006-0000-0000-0000CA000000}">
      <text>
        <r>
          <rPr>
            <b/>
            <sz val="9"/>
            <color indexed="81"/>
            <rFont val="Segoe UI"/>
            <family val="2"/>
          </rPr>
          <t>1.12.15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A129" authorId="5" shapeId="0" xr:uid="{00000000-0006-0000-0000-0000CB000000}">
      <text>
        <r>
          <rPr>
            <sz val="9"/>
            <color indexed="81"/>
            <rFont val="Tahoma"/>
            <family val="2"/>
          </rPr>
          <t xml:space="preserve">Durch Vorjahreskorrektur bei Berechnung Wert 10/2014 unplausieben -Verbrauch 2014 daher mit ablesewert Ende 2013 ermitttelt.
Verbrauch ´14= 15,681-15,99
</t>
        </r>
      </text>
    </comment>
    <comment ref="AB129" authorId="5" shapeId="0" xr:uid="{00000000-0006-0000-0000-0000CC000000}">
      <text>
        <r>
          <rPr>
            <b/>
            <sz val="9"/>
            <color indexed="81"/>
            <rFont val="Tahoma"/>
            <family val="2"/>
          </rPr>
          <t>Abgelesen lt. Wasserbuch 15,52,
das bedeutet:
Entweder die Uhr wäre rückwärts gelaufen, da 2012 Endstand 15,99, somit Verbrauch= 0,47m/3 
oder
Abledesefehler, daher auf geschätzt, entsprechend Vorjahren auf 16,52 statt 15,52 gesetzt = somit verbrauch 0,53m/3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29" authorId="4" shapeId="0" xr:uid="{00000000-0006-0000-0000-0000CD000000}">
      <text>
        <r>
          <rPr>
            <b/>
            <sz val="9"/>
            <color indexed="81"/>
            <rFont val="Tahoma"/>
            <family val="2"/>
          </rPr>
          <t xml:space="preserve">seit Gartenübern. Zeller Mai 12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1" authorId="1" shapeId="0" xr:uid="{00000000-0006-0000-0000-0000CE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Mail 13.5.17</t>
        </r>
      </text>
    </comment>
    <comment ref="G134" authorId="1" shapeId="0" xr:uid="{00000000-0006-0000-0000-0000CF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lt. Mail vom28.02.17</t>
        </r>
      </text>
    </comment>
    <comment ref="BB134" authorId="5" shapeId="0" xr:uid="{00000000-0006-0000-0000-0000D0000000}">
      <text>
        <r>
          <rPr>
            <b/>
            <sz val="9"/>
            <color indexed="81"/>
            <rFont val="Tahoma"/>
            <family val="2"/>
          </rPr>
          <t>Neu ab 7.1.14 auf 9.000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6" authorId="1" shapeId="0" xr:uid="{00000000-0006-0000-0000-0000D1000000}">
      <text>
        <r>
          <rPr>
            <b/>
            <sz val="9"/>
            <color indexed="81"/>
            <rFont val="Segoe UI"/>
            <family val="2"/>
          </rPr>
          <t>nach verstrobenen Ehema Erwin 40 Jhare Pächter der Przelle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V137" authorId="6" shapeId="0" xr:uid="{00000000-0006-0000-0000-0000D7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Dez Anteil </t>
        </r>
      </text>
    </comment>
    <comment ref="AW137" authorId="6" shapeId="0" xr:uid="{00000000-0006-0000-0000-0000D8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+Dez anteil </t>
        </r>
      </text>
    </comment>
    <comment ref="AZ137" authorId="6" shapeId="0" xr:uid="{00000000-0006-0000-0000-0000D9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incl. Dez.24
 Anteil </t>
        </r>
      </text>
    </comment>
    <comment ref="BB137" authorId="1" shapeId="0" xr:uid="{00000000-0006-0000-0000-0000DA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Neu seit 2017 Gralfs 16.7.17</t>
        </r>
      </text>
    </comment>
    <comment ref="G139" authorId="8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lt. Mail vom 6.7.2020</t>
        </r>
      </text>
    </comment>
    <comment ref="AV139" authorId="6" shapeId="0" xr:uid="{00000000-0006-0000-0000-0000DC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ab 1.5. 24 +25 </t>
        </r>
      </text>
    </comment>
    <comment ref="AW139" authorId="6" shapeId="0" xr:uid="{00000000-0006-0000-0000-0000DD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ab 1.5.24 +25
</t>
        </r>
      </text>
    </comment>
    <comment ref="BB139" authorId="4" shapeId="0" xr:uid="{00000000-0006-0000-0000-0000DE000000}">
      <text>
        <r>
          <rPr>
            <b/>
            <sz val="9"/>
            <color indexed="81"/>
            <rFont val="Tahoma"/>
            <family val="2"/>
          </rPr>
          <t>FED neu ab 1.12.2015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41" authorId="0" shapeId="0" xr:uid="{00000000-0006-0000-0000-0000DF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Fr. Schütz, Anmeldung zum 1.1.24 liegt vor. </t>
        </r>
      </text>
    </comment>
    <comment ref="BB141" authorId="0" shapeId="0" xr:uid="{00000000-0006-0000-0000-0000E0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Schütz ab 1.1.24 </t>
        </r>
      </text>
    </comment>
    <comment ref="BC141" authorId="0" shapeId="0" xr:uid="{00000000-0006-0000-0000-0000E1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für Dez 23 VS 5000 =Prämie =25/12 + 
NEU an 1.1.24 10.000 Prämie 52,00 €</t>
        </r>
      </text>
    </comment>
    <comment ref="AV142" authorId="6" shapeId="0" xr:uid="{00000000-0006-0000-0000-0000E2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ab 1.5. 24 +25 </t>
        </r>
      </text>
    </comment>
    <comment ref="AW142" authorId="6" shapeId="0" xr:uid="{00000000-0006-0000-0000-0000E3000000}">
      <text>
        <r>
          <rPr>
            <b/>
            <sz val="9"/>
            <color indexed="81"/>
            <rFont val="Segoe UI"/>
            <family val="2"/>
          </rPr>
          <t>Metzger:</t>
        </r>
        <r>
          <rPr>
            <sz val="9"/>
            <color indexed="81"/>
            <rFont val="Segoe UI"/>
            <family val="2"/>
          </rPr>
          <t xml:space="preserve">
ab 1.5.24 +25
</t>
        </r>
      </text>
    </comment>
    <comment ref="F144" authorId="5" shapeId="0" xr:uid="{00000000-0006-0000-0000-0000E4000000}">
      <text>
        <r>
          <rPr>
            <sz val="9"/>
            <color indexed="81"/>
            <rFont val="Tahoma"/>
            <family val="2"/>
          </rPr>
          <t xml:space="preserve">Partnermitglied seit 2009
Gartenpächterin seit 1.12.2014
</t>
        </r>
      </text>
    </comment>
    <comment ref="BB147" authorId="4" shapeId="0" xr:uid="{00000000-0006-0000-0000-0000E5000000}">
      <text>
        <r>
          <rPr>
            <b/>
            <sz val="9"/>
            <color indexed="81"/>
            <rFont val="Tahoma"/>
            <family val="2"/>
          </rPr>
          <t>Neu ab Morczinki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151" authorId="0" shapeId="0" xr:uid="{00000000-0006-0000-0000-0000E6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Partnerbeitrag für 2023 &amp; 2024</t>
        </r>
      </text>
    </comment>
    <comment ref="BB151" authorId="5" shapeId="0" xr:uid="{00000000-0006-0000-0000-0000E7000000}">
      <text>
        <r>
          <rPr>
            <sz val="9"/>
            <color indexed="81"/>
            <rFont val="Tahoma"/>
            <family val="2"/>
          </rPr>
          <t xml:space="preserve">Neu ab 22.1.214
</t>
        </r>
      </text>
    </comment>
    <comment ref="BB152" authorId="4" shapeId="0" xr:uid="{00000000-0006-0000-0000-0000E8000000}">
      <text>
        <r>
          <rPr>
            <b/>
            <sz val="9"/>
            <color indexed="81"/>
            <rFont val="Tahoma"/>
            <family val="2"/>
          </rPr>
          <t>Neu ab 27.11.13 per Mail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153" authorId="4" shapeId="0" xr:uid="{00000000-0006-0000-0000-0000E9000000}">
      <text>
        <r>
          <rPr>
            <b/>
            <sz val="9"/>
            <color indexed="81"/>
            <rFont val="Tahoma"/>
            <family val="2"/>
          </rPr>
          <t>ab 1.1.13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4" authorId="1" shapeId="0" xr:uid="{00000000-0006-0000-0000-0000EA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B167" authorId="1" shapeId="0" xr:uid="{00000000-0006-0000-0000-0000FE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Uhr aus stKW 03 entfällt, weil kein Mitglied und keine Nutzung mehr! </t>
        </r>
      </text>
    </comment>
    <comment ref="BA175" authorId="1" shapeId="0" xr:uid="{00000000-0006-0000-0000-0000FF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Wert selbst errechnet 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Metzger</author>
  </authors>
  <commentList>
    <comment ref="H9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I9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Grundpreis aus Rechnung von 2021</t>
        </r>
      </text>
    </comment>
    <comment ref="L9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Formel wegen mehreren unterschiedlichen UST sätzen angepasst auf ausgewiesenen Rechnungsbetrag </t>
        </r>
      </text>
    </comment>
    <comment ref="P9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Werte aus Rechnung entnommen </t>
        </r>
      </text>
    </comment>
    <comment ref="T9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L10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mit tatsächlicher Ust gerechnet !</t>
        </r>
      </text>
    </comment>
    <comment ref="B11" authorId="0" shapeId="0" xr:uid="{00000000-0006-0000-0100-000007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H13" authorId="0" shapeId="0" xr:uid="{00000000-0006-0000-0100-000008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L13" authorId="0" shapeId="0" xr:uid="{00000000-0006-0000-0100-000009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Formel wegen mehreren unterschiedlichen UST sätzen angepasst auf ausgewiesenen Rechnungsbetrag </t>
        </r>
      </text>
    </comment>
    <comment ref="N13" authorId="0" shapeId="0" xr:uid="{00000000-0006-0000-0100-00000A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vereineinheitlicht, des tatsächlichen Verbrauchszeitraumes übernommen </t>
        </r>
      </text>
    </comment>
    <comment ref="P13" authorId="0" shapeId="0" xr:uid="{00000000-0006-0000-0100-00000B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Werte aus Rechnung entnommen </t>
        </r>
      </text>
    </comment>
    <comment ref="T13" authorId="0" shapeId="0" xr:uid="{00000000-0006-0000-0100-00000C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L14" authorId="0" shapeId="0" xr:uid="{00000000-0006-0000-0100-00000D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mit tatsächlicher Ust gerechnet !</t>
        </r>
      </text>
    </comment>
    <comment ref="N14" authorId="0" shapeId="0" xr:uid="{00000000-0006-0000-0100-00000E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B15" authorId="0" shapeId="0" xr:uid="{00000000-0006-0000-0100-00000F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H25" authorId="0" shapeId="0" xr:uid="{00000000-0006-0000-0100-000010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N25" authorId="0" shapeId="0" xr:uid="{00000000-0006-0000-0100-00001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N26" authorId="0" shapeId="0" xr:uid="{00000000-0006-0000-0100-000012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B27" authorId="0" shapeId="0" xr:uid="{00000000-0006-0000-0100-000013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H29" authorId="0" shapeId="0" xr:uid="{00000000-0006-0000-0100-000014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N29" authorId="0" shapeId="0" xr:uid="{00000000-0006-0000-0100-000015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F30" authorId="0" shapeId="0" xr:uid="{00000000-0006-0000-0100-000016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 am Ausbautag 2022</t>
        </r>
      </text>
    </comment>
    <comment ref="N30" authorId="0" shapeId="0" xr:uid="{00000000-0006-0000-0100-000017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B31" authorId="0" shapeId="0" xr:uid="{00000000-0006-0000-0100-000018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N34" authorId="0" shapeId="0" xr:uid="{00000000-0006-0000-0100-000019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F35" authorId="0" shapeId="0" xr:uid="{00000000-0006-0000-0100-00001A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 23, 95
</t>
        </r>
      </text>
    </comment>
    <comment ref="N35" authorId="0" shapeId="0" xr:uid="{00000000-0006-0000-0100-00001B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N39" authorId="0" shapeId="0" xr:uid="{00000000-0006-0000-0100-00001C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F40" authorId="0" shapeId="0" xr:uid="{00000000-0006-0000-0100-00001D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 6,62
</t>
        </r>
      </text>
    </comment>
    <comment ref="E42" authorId="0" shapeId="0" xr:uid="{00000000-0006-0000-0100-00001E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2020</t>
        </r>
      </text>
    </comment>
    <comment ref="F42" authorId="0" shapeId="0" xr:uid="{00000000-0006-0000-0100-00001F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2021</t>
        </r>
      </text>
    </comment>
    <comment ref="E44" authorId="0" shapeId="0" xr:uid="{00000000-0006-0000-0100-000020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2020</t>
        </r>
      </text>
    </comment>
    <comment ref="F44" authorId="0" shapeId="0" xr:uid="{00000000-0006-0000-0100-00002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Metzger</author>
  </authors>
  <commentList>
    <comment ref="H5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L5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Formel wegen mehreren unterschiedlichen UST sätzen angepasst auf ausgewiesenen Rechnungsbetrag </t>
        </r>
      </text>
    </comment>
    <comment ref="N5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vereineinheitlicht, des tatsächlichen Verbrauchszeitraumes übernommen </t>
        </r>
      </text>
    </comment>
    <comment ref="P5" authorId="0" shapeId="0" xr:uid="{00000000-0006-0000-0500-000004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Werte aus Rechnung entnommen </t>
        </r>
      </text>
    </comment>
    <comment ref="T5" authorId="0" shapeId="0" xr:uid="{00000000-0006-0000-0500-000005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L6" authorId="0" shapeId="0" xr:uid="{00000000-0006-0000-0500-000006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mit tatsächlicher Ust gerechnet !</t>
        </r>
      </text>
    </comment>
    <comment ref="N6" authorId="0" shapeId="0" xr:uid="{00000000-0006-0000-0500-000007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F7" authorId="0" shapeId="0" xr:uid="{00000000-0006-0000-0500-000008000000}">
      <text>
        <r>
          <rPr>
            <b/>
            <sz val="9"/>
            <color indexed="81"/>
            <rFont val="Segoe UI"/>
            <charset val="1"/>
          </rPr>
          <t>Sabine Metzger:</t>
        </r>
        <r>
          <rPr>
            <sz val="9"/>
            <color indexed="81"/>
            <rFont val="Segoe UI"/>
            <charset val="1"/>
          </rPr>
          <t xml:space="preserve">
Ablesetag unbekannt, Mail vom 26.11.23</t>
        </r>
      </text>
    </comment>
    <comment ref="B13" authorId="0" shapeId="0" xr:uid="{00000000-0006-0000-0500-000009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H16" authorId="0" shapeId="0" xr:uid="{00000000-0006-0000-0500-00000A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N16" authorId="0" shapeId="0" xr:uid="{00000000-0006-0000-0500-00000B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F17" authorId="0" shapeId="0" xr:uid="{00000000-0006-0000-0500-00000C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 am Ausbautag 2022</t>
        </r>
      </text>
    </comment>
    <comment ref="N17" authorId="0" shapeId="0" xr:uid="{00000000-0006-0000-0500-00000D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B18" authorId="0" shapeId="0" xr:uid="{00000000-0006-0000-0500-00000E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N20" authorId="0" shapeId="0" xr:uid="{00000000-0006-0000-0500-00000F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F21" authorId="0" shapeId="0" xr:uid="{00000000-0006-0000-0500-000010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 6,62
</t>
        </r>
      </text>
    </comment>
    <comment ref="E23" authorId="0" shapeId="0" xr:uid="{00000000-0006-0000-0500-00001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2020</t>
        </r>
      </text>
    </comment>
    <comment ref="F23" authorId="0" shapeId="0" xr:uid="{00000000-0006-0000-0500-000012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</author>
  </authors>
  <commentList>
    <comment ref="G7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so abgelsen am 3.11.18 - Rechnungskorrektur erfolgt zu spät!!! </t>
        </r>
      </text>
    </comment>
    <comment ref="G15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Abgelesen </t>
        </r>
      </text>
    </comment>
    <comment ref="G20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Ablesen von Hubi 15,21 am 3.11.18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</author>
  </authors>
  <commentList>
    <comment ref="F10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Abgelesen </t>
        </r>
      </text>
    </comment>
    <comment ref="G10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Abgelesen Hauptuhr am 16.11.19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</author>
    <author>Sabine Metzger</author>
  </authors>
  <commentList>
    <comment ref="F24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Abgelesen </t>
        </r>
      </text>
    </comment>
    <comment ref="G24" authorId="0" shapeId="0" xr:uid="{00000000-0006-0000-0800-000002000000}">
      <text>
        <r>
          <rPr>
            <b/>
            <sz val="9"/>
            <color indexed="81"/>
            <rFont val="Segoe UI"/>
            <family val="2"/>
          </rPr>
          <t>Sabine:</t>
        </r>
        <r>
          <rPr>
            <sz val="9"/>
            <color indexed="81"/>
            <rFont val="Segoe UI"/>
            <family val="2"/>
          </rPr>
          <t xml:space="preserve">
Abgelesen Hauptuhr am 16.11.19</t>
        </r>
      </text>
    </comment>
    <comment ref="G39" authorId="1" shapeId="0" xr:uid="{00000000-0006-0000-0800-000003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 Hauptuhr am 20.11.20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Metzger</author>
  </authors>
  <commentList>
    <comment ref="H5" authorId="0" shapeId="0" xr:uid="{00000000-0006-0000-0A00-00000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L5" authorId="0" shapeId="0" xr:uid="{00000000-0006-0000-0A00-000002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Formel wegen mehreren unterschiedlichen UST sätzen angepasst auf ausgewiesenen Rechnungsbetrag </t>
        </r>
      </text>
    </comment>
    <comment ref="N5" authorId="0" shapeId="0" xr:uid="{00000000-0006-0000-0A00-000003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vereineinheitlicht, des tatsächlichen Verbrauchszeitraumes übernommen </t>
        </r>
      </text>
    </comment>
    <comment ref="P5" authorId="0" shapeId="0" xr:uid="{00000000-0006-0000-0A00-000004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Werte aus Rechnung entnommen </t>
        </r>
      </text>
    </comment>
    <comment ref="T5" authorId="0" shapeId="0" xr:uid="{00000000-0006-0000-0A00-000005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L6" authorId="0" shapeId="0" xr:uid="{00000000-0006-0000-0A00-000006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mit tatsächlicher Ust gerechnet !</t>
        </r>
      </text>
    </comment>
    <comment ref="N6" authorId="0" shapeId="0" xr:uid="{00000000-0006-0000-0A00-000007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B7" authorId="0" shapeId="0" xr:uid="{00000000-0006-0000-0A00-000008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H9" authorId="0" shapeId="0" xr:uid="{00000000-0006-0000-0A00-000009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B11" authorId="0" shapeId="0" xr:uid="{00000000-0006-0000-0A00-00000A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F14" authorId="0" shapeId="0" xr:uid="{00000000-0006-0000-0A00-00000B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 6,62
</t>
        </r>
      </text>
    </comment>
    <comment ref="E16" authorId="0" shapeId="0" xr:uid="{00000000-0006-0000-0A00-00000C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2020</t>
        </r>
      </text>
    </comment>
    <comment ref="F16" authorId="0" shapeId="0" xr:uid="{00000000-0006-0000-0A00-00000D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Metzger</author>
  </authors>
  <commentList>
    <comment ref="H5" authorId="0" shapeId="0" xr:uid="{00000000-0006-0000-0B00-00000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I5" authorId="0" shapeId="0" xr:uid="{00000000-0006-0000-0B00-000002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Grundpreis aus Rechnung von 2021</t>
        </r>
      </text>
    </comment>
    <comment ref="L5" authorId="0" shapeId="0" xr:uid="{00000000-0006-0000-0B00-000003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Formel wegen mehreren unterschiedlichen UST sätzen angepasst auf ausgewiesenen Rechnungsbetrag </t>
        </r>
      </text>
    </comment>
    <comment ref="P5" authorId="0" shapeId="0" xr:uid="{00000000-0006-0000-0B00-000004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Werte aus Rechnung entnommen </t>
        </r>
      </text>
    </comment>
    <comment ref="T5" authorId="0" shapeId="0" xr:uid="{00000000-0006-0000-0B00-000005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L6" authorId="0" shapeId="0" xr:uid="{00000000-0006-0000-0B00-000006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mit tatsächlicher Ust gerechnet !</t>
        </r>
      </text>
    </comment>
    <comment ref="B7" authorId="0" shapeId="0" xr:uid="{00000000-0006-0000-0B00-000007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H9" authorId="0" shapeId="0" xr:uid="{00000000-0006-0000-0B00-000008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L9" authorId="0" shapeId="0" xr:uid="{00000000-0006-0000-0B00-000009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Formel wegen mehreren unterschiedlichen UST sätzen angepasst auf ausgewiesenen Rechnungsbetrag </t>
        </r>
      </text>
    </comment>
    <comment ref="N9" authorId="0" shapeId="0" xr:uid="{00000000-0006-0000-0B00-00000A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vereineinheitlicht, des tatsächlichen Verbrauchszeitraumes übernommen </t>
        </r>
      </text>
    </comment>
    <comment ref="P9" authorId="0" shapeId="0" xr:uid="{00000000-0006-0000-0B00-00000B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Werte aus Rechnung entnommen </t>
        </r>
      </text>
    </comment>
    <comment ref="T9" authorId="0" shapeId="0" xr:uid="{00000000-0006-0000-0B00-00000C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L10" authorId="0" shapeId="0" xr:uid="{00000000-0006-0000-0B00-00000D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mit tatsächlicher Ust gerechnet !</t>
        </r>
      </text>
    </comment>
    <comment ref="N10" authorId="0" shapeId="0" xr:uid="{00000000-0006-0000-0B00-00000E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B11" authorId="0" shapeId="0" xr:uid="{00000000-0006-0000-0B00-00000F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H14" authorId="0" shapeId="0" xr:uid="{00000000-0006-0000-0B00-000010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N14" authorId="0" shapeId="0" xr:uid="{00000000-0006-0000-0B00-00001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N15" authorId="0" shapeId="0" xr:uid="{00000000-0006-0000-0B00-000012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B16" authorId="0" shapeId="0" xr:uid="{00000000-0006-0000-0B00-000013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H18" authorId="0" shapeId="0" xr:uid="{00000000-0006-0000-0B00-000014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</t>
        </r>
      </text>
    </comment>
    <comment ref="N18" authorId="0" shapeId="0" xr:uid="{00000000-0006-0000-0B00-000015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F19" authorId="0" shapeId="0" xr:uid="{00000000-0006-0000-0B00-000016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 am Ausbautag 2022</t>
        </r>
      </text>
    </comment>
    <comment ref="N19" authorId="0" shapeId="0" xr:uid="{00000000-0006-0000-0B00-000017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B20" authorId="0" shapeId="0" xr:uid="{00000000-0006-0000-0B00-000018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Grundlage der Mitgliederrechungen (Kostenumlage)</t>
        </r>
      </text>
    </comment>
    <comment ref="N23" authorId="0" shapeId="0" xr:uid="{00000000-0006-0000-0B00-000019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F24" authorId="0" shapeId="0" xr:uid="{00000000-0006-0000-0B00-00001A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 23, 95
</t>
        </r>
      </text>
    </comment>
    <comment ref="N24" authorId="0" shapeId="0" xr:uid="{00000000-0006-0000-0B00-00001B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N28" authorId="0" shapeId="0" xr:uid="{00000000-0006-0000-0B00-00001C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Wert aus Rechnung entnommen </t>
        </r>
      </text>
    </comment>
    <comment ref="F29" authorId="0" shapeId="0" xr:uid="{00000000-0006-0000-0B00-00001D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Abgelesen 6,62
</t>
        </r>
      </text>
    </comment>
    <comment ref="E31" authorId="0" shapeId="0" xr:uid="{00000000-0006-0000-0B00-00001E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2020</t>
        </r>
      </text>
    </comment>
    <comment ref="F31" authorId="0" shapeId="0" xr:uid="{00000000-0006-0000-0B00-00001F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2021</t>
        </r>
      </text>
    </comment>
    <comment ref="E33" authorId="0" shapeId="0" xr:uid="{00000000-0006-0000-0B00-000020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2020</t>
        </r>
      </text>
    </comment>
    <comment ref="F33" authorId="0" shapeId="0" xr:uid="{00000000-0006-0000-0B00-000021000000}">
      <text>
        <r>
          <rPr>
            <b/>
            <sz val="9"/>
            <color indexed="81"/>
            <rFont val="Segoe UI"/>
            <family val="2"/>
          </rPr>
          <t>Sabine Metzger:</t>
        </r>
        <r>
          <rPr>
            <sz val="9"/>
            <color indexed="81"/>
            <rFont val="Segoe UI"/>
            <family val="2"/>
          </rPr>
          <t xml:space="preserve">
Stand: 2021</t>
        </r>
      </text>
    </comment>
  </commentList>
</comments>
</file>

<file path=xl/sharedStrings.xml><?xml version="1.0" encoding="utf-8"?>
<sst xmlns="http://schemas.openxmlformats.org/spreadsheetml/2006/main" count="1779" uniqueCount="1062">
  <si>
    <t>Ga-Nr</t>
  </si>
  <si>
    <t>Ind.</t>
  </si>
  <si>
    <t>Name</t>
  </si>
  <si>
    <t>Vorname</t>
  </si>
  <si>
    <t>Eintritt</t>
  </si>
  <si>
    <t>Straße</t>
  </si>
  <si>
    <t>PLZ</t>
  </si>
  <si>
    <t>Wohnort</t>
  </si>
  <si>
    <t>Telefon</t>
  </si>
  <si>
    <t>Mobil</t>
  </si>
  <si>
    <t>e-mail</t>
  </si>
  <si>
    <t>Geb.-Tag</t>
  </si>
  <si>
    <t>N=Neu-pächter</t>
  </si>
  <si>
    <t>Zählerstand 11/12 [m3]</t>
  </si>
  <si>
    <t>Zählerstand 11/11 [m3]</t>
  </si>
  <si>
    <t>Zählerstand 10/10 [m3]</t>
  </si>
  <si>
    <t>Zählerstand 11/09 [m3]</t>
  </si>
  <si>
    <t>L1</t>
  </si>
  <si>
    <t>L2</t>
  </si>
  <si>
    <t>L3</t>
  </si>
  <si>
    <t>L4</t>
  </si>
  <si>
    <t>L5</t>
  </si>
  <si>
    <t>GK</t>
  </si>
  <si>
    <t>Schw</t>
  </si>
  <si>
    <t>VK</t>
  </si>
  <si>
    <t>WK</t>
  </si>
  <si>
    <t>MB</t>
  </si>
  <si>
    <t>PB</t>
  </si>
  <si>
    <t>VS</t>
  </si>
  <si>
    <t>VP</t>
  </si>
  <si>
    <t>Wasserrücklage, lt. JHV 2011</t>
  </si>
  <si>
    <t>Solarvers.</t>
  </si>
  <si>
    <t>Bewerber-
gebühr</t>
  </si>
  <si>
    <t>Aufnahmegebühr</t>
  </si>
  <si>
    <t>Schätz-
gebühr</t>
  </si>
  <si>
    <t>Häckslerkostenanteil</t>
  </si>
  <si>
    <t>ZB</t>
  </si>
  <si>
    <t>Korrekte Einzahlung am</t>
  </si>
  <si>
    <t xml:space="preserve">Buchungs
nummer </t>
  </si>
  <si>
    <t>Bemerkung</t>
  </si>
  <si>
    <t>K</t>
  </si>
  <si>
    <t>BÜCHEL</t>
  </si>
  <si>
    <t>Hans</t>
  </si>
  <si>
    <t>MEISTER</t>
  </si>
  <si>
    <t>Helga</t>
  </si>
  <si>
    <t>JABLOTSCHNIK</t>
  </si>
  <si>
    <t>Elena</t>
  </si>
  <si>
    <t>HERGESELL</t>
  </si>
  <si>
    <t>Rudolf</t>
  </si>
  <si>
    <t>SEVERIN</t>
  </si>
  <si>
    <t>Dores</t>
  </si>
  <si>
    <t>DANIUS</t>
  </si>
  <si>
    <t>Liana</t>
  </si>
  <si>
    <t>WIEDMANN</t>
  </si>
  <si>
    <t>Marija</t>
  </si>
  <si>
    <t>CIMINERA</t>
  </si>
  <si>
    <t>Pasqualina</t>
  </si>
  <si>
    <t>HAAS</t>
  </si>
  <si>
    <t>Friedrich</t>
  </si>
  <si>
    <t>PFAFF</t>
  </si>
  <si>
    <t>Albrecht</t>
  </si>
  <si>
    <t>Andreas</t>
  </si>
  <si>
    <t>CORBACIO</t>
  </si>
  <si>
    <t>Matteo</t>
  </si>
  <si>
    <t>BIEDRON</t>
  </si>
  <si>
    <t>Johannes</t>
  </si>
  <si>
    <t>DEIANA</t>
  </si>
  <si>
    <t>Mario</t>
  </si>
  <si>
    <t>ROBERTUS</t>
  </si>
  <si>
    <t>Juri</t>
  </si>
  <si>
    <t>HÄRING</t>
  </si>
  <si>
    <t>LÄMMLE</t>
  </si>
  <si>
    <t>Michael</t>
  </si>
  <si>
    <t>SIMIENTKOWSKI</t>
  </si>
  <si>
    <t>Alfred</t>
  </si>
  <si>
    <t>SOBRAL</t>
  </si>
  <si>
    <t>Jose-Maria</t>
  </si>
  <si>
    <t>Jürgen</t>
  </si>
  <si>
    <t>a</t>
  </si>
  <si>
    <t>GROß</t>
  </si>
  <si>
    <t>Albert</t>
  </si>
  <si>
    <t>LORENZ</t>
  </si>
  <si>
    <t>Günter</t>
  </si>
  <si>
    <t>Dieter</t>
  </si>
  <si>
    <t>Sabine</t>
  </si>
  <si>
    <t>HUBER</t>
  </si>
  <si>
    <t>RIEDER</t>
  </si>
  <si>
    <t>Christian</t>
  </si>
  <si>
    <t>SCHEUNERT</t>
  </si>
  <si>
    <t>Hendrik</t>
  </si>
  <si>
    <t>ROSE</t>
  </si>
  <si>
    <t>Georg</t>
  </si>
  <si>
    <t>WESTERHOF</t>
  </si>
  <si>
    <t>S</t>
  </si>
  <si>
    <t>CALISKAN</t>
  </si>
  <si>
    <t>Zekeriyya</t>
  </si>
  <si>
    <t>SCHMID</t>
  </si>
  <si>
    <t>H.-Joachim</t>
  </si>
  <si>
    <t>PERISIC</t>
  </si>
  <si>
    <t>Zeljko</t>
  </si>
  <si>
    <t>MOTOVITSKI</t>
  </si>
  <si>
    <t>Maria</t>
  </si>
  <si>
    <t>ERKOC</t>
  </si>
  <si>
    <t>Alim</t>
  </si>
  <si>
    <t>HESS</t>
  </si>
  <si>
    <t>Hans-Rainer</t>
  </si>
  <si>
    <t>ROMANO</t>
  </si>
  <si>
    <t>Marco</t>
  </si>
  <si>
    <t>KAVAS'</t>
  </si>
  <si>
    <t>Josef</t>
  </si>
  <si>
    <t>SCHÜTZ</t>
  </si>
  <si>
    <t>Hans Peter</t>
  </si>
  <si>
    <t>BOINE</t>
  </si>
  <si>
    <t>KALEJA</t>
  </si>
  <si>
    <t>Marek</t>
  </si>
  <si>
    <t>SEBÖ</t>
  </si>
  <si>
    <t>Dr. Attila</t>
  </si>
  <si>
    <t>Alexander</t>
  </si>
  <si>
    <t>GZIM</t>
  </si>
  <si>
    <t>RÜCKERT</t>
  </si>
  <si>
    <t>Ursula</t>
  </si>
  <si>
    <t>Norbert</t>
  </si>
  <si>
    <t>KOMATOVIC</t>
  </si>
  <si>
    <t>Dejan</t>
  </si>
  <si>
    <t>KADRIC</t>
  </si>
  <si>
    <t>Sakiba</t>
  </si>
  <si>
    <t>Ohan</t>
  </si>
  <si>
    <t>DEPNER</t>
  </si>
  <si>
    <t>Eva</t>
  </si>
  <si>
    <t>GATTA</t>
  </si>
  <si>
    <t>Damiano</t>
  </si>
  <si>
    <t>METZGER</t>
  </si>
  <si>
    <t>HEITZMANN</t>
  </si>
  <si>
    <t>ZOBEL</t>
  </si>
  <si>
    <t>Bärbel</t>
  </si>
  <si>
    <t>ZELLER</t>
  </si>
  <si>
    <t>Beate</t>
  </si>
  <si>
    <t>KLOBUSINSKI</t>
  </si>
  <si>
    <t>Bodo</t>
  </si>
  <si>
    <t>SZYSKA</t>
  </si>
  <si>
    <t>BELEN</t>
  </si>
  <si>
    <t>Izzet</t>
  </si>
  <si>
    <t>WOLFF</t>
  </si>
  <si>
    <t>YESILYURT</t>
  </si>
  <si>
    <t>Adem</t>
  </si>
  <si>
    <t>SCHMIEG</t>
  </si>
  <si>
    <t>Rainer</t>
  </si>
  <si>
    <t>BUCHWALD</t>
  </si>
  <si>
    <t>Oliver</t>
  </si>
  <si>
    <t>KAUFMANN-HORLACHER</t>
  </si>
  <si>
    <t xml:space="preserve">Ingrid </t>
  </si>
  <si>
    <t>Angelika</t>
  </si>
  <si>
    <t>sdt.Gärt KW</t>
  </si>
  <si>
    <t>SW</t>
  </si>
  <si>
    <t>KW</t>
  </si>
  <si>
    <t>Verbrauch incl. LG+PF lt. Uhren</t>
  </si>
  <si>
    <t>Verbrauch lt. EnBW bzw. Hauptuhrangaben</t>
  </si>
  <si>
    <t>Verbrauchsdifferenz (Schwund)</t>
  </si>
  <si>
    <t>Stück</t>
  </si>
  <si>
    <t>€</t>
  </si>
  <si>
    <t>Verbrauchskosten lt. EnBW incl. Ust.</t>
  </si>
  <si>
    <t>Grundkosten + Messkosten lt. EnBW incl. Ust.</t>
  </si>
  <si>
    <t>Preis pro cbm incl. Ust. lt. EnBW (gemittelt)</t>
  </si>
  <si>
    <t>Schwundkosten gesamt</t>
  </si>
  <si>
    <t>Grundkosten + Messkosten pro Garten</t>
  </si>
  <si>
    <t>Brutto-Rechnungsbetrag lt. EnBE incl. Ust.</t>
  </si>
  <si>
    <t>Summe aller Grundkosten + Messkosten lt. EnBW incl. Ust.</t>
  </si>
  <si>
    <t xml:space="preserve">Maria </t>
  </si>
  <si>
    <t>TETENS</t>
  </si>
  <si>
    <t>Elke</t>
  </si>
  <si>
    <t>Anl.</t>
  </si>
  <si>
    <t>BAKUREWITSCH</t>
  </si>
  <si>
    <t>Helene</t>
  </si>
  <si>
    <t>MÜNCH</t>
  </si>
  <si>
    <t>WOLLMANN</t>
  </si>
  <si>
    <t>WIEMKEN</t>
  </si>
  <si>
    <t>Felix</t>
  </si>
  <si>
    <t>STIETENROTH</t>
  </si>
  <si>
    <t>Anja</t>
  </si>
  <si>
    <t>GÖPFERT</t>
  </si>
  <si>
    <t>Jens</t>
  </si>
  <si>
    <t xml:space="preserve">MORCZINSKI </t>
  </si>
  <si>
    <t>Wieslaw</t>
  </si>
  <si>
    <t>Zählerstand 10/13 [m3]</t>
  </si>
  <si>
    <t>Petra</t>
  </si>
  <si>
    <t>Zeitraum</t>
  </si>
  <si>
    <t>Tage</t>
  </si>
  <si>
    <t>Z-Stand alt [cbm]</t>
  </si>
  <si>
    <t>Z-Stand neu [cbm]</t>
  </si>
  <si>
    <t>Verbrauch [cbm]</t>
  </si>
  <si>
    <t>Grundpreis + Messpreis netto</t>
  </si>
  <si>
    <t>Grundpreis + Messpreis brutto</t>
  </si>
  <si>
    <t>Verbrauchs-
kosten netto</t>
  </si>
  <si>
    <t>Verbrauchs-
kosten brutto</t>
  </si>
  <si>
    <t>Summe
Grunpreis + Messpreis +
Verbrauchs-
kosten
brutto</t>
  </si>
  <si>
    <t>Rechnungs-
betrag
brutto</t>
  </si>
  <si>
    <t>von SKV gezahlte Abschläge</t>
  </si>
  <si>
    <t>Guthaben des SKV</t>
  </si>
  <si>
    <t>Rechnungs-
betrag brutto abzügl. Abschläge</t>
  </si>
  <si>
    <t>Sonstige Forderungen
EnBW</t>
  </si>
  <si>
    <t>Nach-
forderungen EnBW</t>
  </si>
  <si>
    <t>Preis pro cbm</t>
  </si>
  <si>
    <t xml:space="preserve">2. RE vom </t>
  </si>
  <si>
    <t>Summen:</t>
  </si>
  <si>
    <t>St. KW</t>
  </si>
  <si>
    <t>Summe KW+SW+St.KW</t>
  </si>
  <si>
    <t>Alle Grundkosten:</t>
  </si>
  <si>
    <t>Anzahl aller Uhren</t>
  </si>
  <si>
    <t>Anzahl Gärten incl. PF, ohne LG</t>
  </si>
  <si>
    <t xml:space="preserve">Summe Wassereinnahmen , alle: </t>
  </si>
  <si>
    <t>ÖLSCHLÄGER</t>
  </si>
  <si>
    <t>Markus</t>
  </si>
  <si>
    <t xml:space="preserve">BAIR-EMDE </t>
  </si>
  <si>
    <t>SINGH-KAUR</t>
  </si>
  <si>
    <t>FISCHER-WITZMANN</t>
  </si>
  <si>
    <t xml:space="preserve">KARRMANN </t>
  </si>
  <si>
    <t xml:space="preserve">Stefan </t>
  </si>
  <si>
    <t>ALLMENDINGER</t>
  </si>
  <si>
    <t>Zählerstand 10/14 [m3]</t>
  </si>
  <si>
    <t>Fehl Gem.-Arb</t>
  </si>
  <si>
    <t>Anzahl Uhren</t>
  </si>
  <si>
    <t xml:space="preserve"> Städt.Gärten +KW / Summe Uhren</t>
  </si>
  <si>
    <t>2014 erstmals Schwund</t>
  </si>
  <si>
    <t>Roman</t>
  </si>
  <si>
    <t xml:space="preserve">LANDGRAF </t>
  </si>
  <si>
    <t xml:space="preserve">Urte </t>
  </si>
  <si>
    <t>ARNOLD</t>
  </si>
  <si>
    <t xml:space="preserve">Petra </t>
  </si>
  <si>
    <t>ZIEGLER</t>
  </si>
  <si>
    <t xml:space="preserve">Peter </t>
  </si>
  <si>
    <t xml:space="preserve">ROTH </t>
  </si>
  <si>
    <t xml:space="preserve">Gerda </t>
  </si>
  <si>
    <t>RENGES</t>
  </si>
  <si>
    <t>Zählerstand 10/15 [m3]</t>
  </si>
  <si>
    <t xml:space="preserve">KW+städt. G </t>
  </si>
  <si>
    <t>m³</t>
  </si>
  <si>
    <t xml:space="preserve">Narinder </t>
  </si>
  <si>
    <t>ADT</t>
  </si>
  <si>
    <t>Margarete</t>
  </si>
  <si>
    <t>Zählerstand 10/16 [m3]</t>
  </si>
  <si>
    <t xml:space="preserve">Anja </t>
  </si>
  <si>
    <t>RÖSCH</t>
  </si>
  <si>
    <t>Kristina</t>
  </si>
  <si>
    <t>THEIßEN</t>
  </si>
  <si>
    <t xml:space="preserve">Sonja </t>
  </si>
  <si>
    <t>FERENCZ KIS</t>
  </si>
  <si>
    <t>Ferenc</t>
  </si>
  <si>
    <t>HERZOG</t>
  </si>
  <si>
    <t>Willi</t>
  </si>
  <si>
    <t>BECKER</t>
  </si>
  <si>
    <t>LUDWIG</t>
  </si>
  <si>
    <t>Zählerstand 10/17 [m3]</t>
  </si>
  <si>
    <t xml:space="preserve">ab 2017 ! </t>
  </si>
  <si>
    <t xml:space="preserve">Auszug Wasser aus JR 2017-2018 </t>
  </si>
  <si>
    <t>Summe über alle Gärten /JR 2017-2018</t>
  </si>
  <si>
    <t>Summe EnBW Rechnungen 2017-2018</t>
  </si>
  <si>
    <t xml:space="preserve">Anteil GK je Garten </t>
  </si>
  <si>
    <t>Beschluss Ausschusssitzung vom 10.12.2010: Grundkosten aller Hauptuhren werden auf alle Nutzer gleich umgelegt.</t>
  </si>
  <si>
    <t xml:space="preserve">der Rechnungsanteile, die auf das Verbrauchsjahr 2017 bezogen sind. </t>
  </si>
  <si>
    <t xml:space="preserve">Mehreinnahmen </t>
  </si>
  <si>
    <t xml:space="preserve">Tatsächlich wurde alles Wasser erst im Jahr 2017 verbraucht, also zu einem Preis von 2,44 Netto </t>
  </si>
  <si>
    <t>ROER</t>
  </si>
  <si>
    <t>Juliane</t>
  </si>
  <si>
    <t>RAABE</t>
  </si>
  <si>
    <t>SMYKALOVA</t>
  </si>
  <si>
    <t>Natalia</t>
  </si>
  <si>
    <t xml:space="preserve">Luise </t>
  </si>
  <si>
    <t>RIEKERS</t>
  </si>
  <si>
    <t>Dr. Ralf</t>
  </si>
  <si>
    <t xml:space="preserve">GREGOROVA </t>
  </si>
  <si>
    <t>Dana</t>
  </si>
  <si>
    <t xml:space="preserve">MILLARD </t>
  </si>
  <si>
    <t>BÖHM</t>
  </si>
  <si>
    <t>Zählerstand 10/18 [m3]</t>
  </si>
  <si>
    <t>Wasserabrechnung 2018 für SW, KW und städtische KW-Gärten</t>
  </si>
  <si>
    <t>5.11.17-31.10.18</t>
  </si>
  <si>
    <t>1. RE vom 27.11.18</t>
  </si>
  <si>
    <t>1. RE vom 16.10.18</t>
  </si>
  <si>
    <t xml:space="preserve">12.11.17 -06.06..18 </t>
  </si>
  <si>
    <t xml:space="preserve">7.06.18-03.09.18 </t>
  </si>
  <si>
    <t>04.09.2018 - 11.11.18</t>
  </si>
  <si>
    <t xml:space="preserve">ab 2018 ! </t>
  </si>
  <si>
    <t xml:space="preserve">2. RE vom Fehlt /Abgelesen </t>
  </si>
  <si>
    <t xml:space="preserve">gemittelt </t>
  </si>
  <si>
    <t>25.11.17 -03.07.18</t>
  </si>
  <si>
    <t>1. Re vom 6.9.18</t>
  </si>
  <si>
    <t>2. RE vom 16.10.18</t>
  </si>
  <si>
    <t>04.07.18 -3.09.18</t>
  </si>
  <si>
    <t xml:space="preserve">Abgelesen am 3.11.18 </t>
  </si>
  <si>
    <t>04.09.2018 - 10.11.18</t>
  </si>
  <si>
    <t>JÖRREßEN</t>
  </si>
  <si>
    <t>Adrian</t>
  </si>
  <si>
    <t>DEDIC</t>
  </si>
  <si>
    <t>Zijad</t>
  </si>
  <si>
    <t>HAUBNER</t>
  </si>
  <si>
    <t xml:space="preserve">Martin </t>
  </si>
  <si>
    <t>EICHHORN</t>
  </si>
  <si>
    <t>Holger</t>
  </si>
  <si>
    <t>Zählerstand 10/19 [m3]</t>
  </si>
  <si>
    <t xml:space="preserve">Sonderzahlung </t>
  </si>
  <si>
    <t xml:space="preserve">Art de SZ </t>
  </si>
  <si>
    <t>Wasserabrechnung 2019 für SW, KW und städtische KW-Gärten</t>
  </si>
  <si>
    <t xml:space="preserve">Ablesestand am 2.1.2020  (nicht durch RE belegt) </t>
  </si>
  <si>
    <t>3.11.18 - 20.10.19</t>
  </si>
  <si>
    <t xml:space="preserve">Anzahl TAGE </t>
  </si>
  <si>
    <t>3.11.-30.11.</t>
  </si>
  <si>
    <t xml:space="preserve">Tage </t>
  </si>
  <si>
    <t xml:space="preserve">Monat </t>
  </si>
  <si>
    <t xml:space="preserve">Ablesestand lt. Eigener Berechnung  2.1.2020  (nicht durch RE belegt) </t>
  </si>
  <si>
    <t xml:space="preserve">10.11.18 -16.11.19 </t>
  </si>
  <si>
    <t xml:space="preserve">KW </t>
  </si>
  <si>
    <t xml:space="preserve">SW </t>
  </si>
  <si>
    <t xml:space="preserve">10.1-30.11 </t>
  </si>
  <si>
    <t>31.10.2018 - 20.10.19</t>
  </si>
  <si>
    <t xml:space="preserve">Stadt. Gärten KW </t>
  </si>
  <si>
    <t>31.10.</t>
  </si>
  <si>
    <t xml:space="preserve">ohne MWSt </t>
  </si>
  <si>
    <t>DUMLER</t>
  </si>
  <si>
    <t xml:space="preserve">Elvira </t>
  </si>
  <si>
    <t>Zählerstand 11/20 [m3]</t>
  </si>
  <si>
    <t>Wasserabrechnung 2020 für SW, KW und städtische KW-Gärten</t>
  </si>
  <si>
    <t>17.11.19- 20.11.20</t>
  </si>
  <si>
    <t>Buowaldstr. 95</t>
  </si>
  <si>
    <t>Stuttgart</t>
  </si>
  <si>
    <t>0151 58 59 82 80</t>
  </si>
  <si>
    <t>julianeforgbert@hotmail.com</t>
  </si>
  <si>
    <t>N (ehem. Lemmer-Rosi)</t>
  </si>
  <si>
    <t>Grüninger Str. 48</t>
  </si>
  <si>
    <t>45 54 75</t>
  </si>
  <si>
    <t>hans.buechel@gmx.de</t>
  </si>
  <si>
    <t>Abelsbergstr. 33</t>
  </si>
  <si>
    <t>Walter-Flex-Str. 92</t>
  </si>
  <si>
    <t>Andreas-Fauser-Str. 14</t>
  </si>
  <si>
    <t>gesch.7944692</t>
  </si>
  <si>
    <t>eljb@gmx.de</t>
  </si>
  <si>
    <t>Freytagweg 30 A</t>
  </si>
  <si>
    <t>rudolf.hergesell@arcor.de</t>
  </si>
  <si>
    <t>Cannstatter Str. 95/1</t>
  </si>
  <si>
    <t>Fellbach</t>
  </si>
  <si>
    <t>L.Danius@web.de</t>
  </si>
  <si>
    <t>Ostfildern</t>
  </si>
  <si>
    <t>Holteiweg 20A</t>
  </si>
  <si>
    <t>46 18 80</t>
  </si>
  <si>
    <t>Liststr. 25</t>
  </si>
  <si>
    <t>0178 7854209</t>
  </si>
  <si>
    <t>Reuchlinstr. 30</t>
  </si>
  <si>
    <t>62 15 79</t>
  </si>
  <si>
    <t>Paprikastr. 28 B</t>
  </si>
  <si>
    <t xml:space="preserve">Stuttgart </t>
  </si>
  <si>
    <t>elviradumler79@gmx.de</t>
  </si>
  <si>
    <t>Neue Straße 161</t>
  </si>
  <si>
    <t>Engelboldstr. 75</t>
  </si>
  <si>
    <t>640 55 11</t>
  </si>
  <si>
    <t>Alexanderstr.  71</t>
  </si>
  <si>
    <t>0157 752518016</t>
  </si>
  <si>
    <t>joerressen@web.de</t>
  </si>
  <si>
    <t xml:space="preserve">N (Korth) </t>
  </si>
  <si>
    <t>Morsestr. 35</t>
  </si>
  <si>
    <t>61 19 49</t>
  </si>
  <si>
    <t>0172 5813907</t>
  </si>
  <si>
    <t>matteocorbacio@hotmail.de</t>
  </si>
  <si>
    <t>Bernsteinstr. 12</t>
  </si>
  <si>
    <t>44 54 86</t>
  </si>
  <si>
    <t>dennisbiedron89@gmail.com</t>
  </si>
  <si>
    <t>Isegrimweg 34</t>
  </si>
  <si>
    <t>44 54 92</t>
  </si>
  <si>
    <t>susann.deiana@arcor.de</t>
  </si>
  <si>
    <t>Augsburger Str. 689</t>
  </si>
  <si>
    <t>329 000 3</t>
  </si>
  <si>
    <t>jrobertus@t-online.de</t>
  </si>
  <si>
    <t>KEMPENI</t>
  </si>
  <si>
    <t>Björn</t>
  </si>
  <si>
    <t>0160 97326587</t>
  </si>
  <si>
    <t xml:space="preserve"> N (Hitz) </t>
  </si>
  <si>
    <t>Wilhelm-Geyer-Weg 5A</t>
  </si>
  <si>
    <t>60 31 23</t>
  </si>
  <si>
    <t>michael_e_laemmle@web.de</t>
  </si>
  <si>
    <t>Adlerstr. 15</t>
  </si>
  <si>
    <t>Filderstadt</t>
  </si>
  <si>
    <t>Hohenheimer Str. 56</t>
  </si>
  <si>
    <t>0172 7138593</t>
  </si>
  <si>
    <t>m.oelschlaeger@kabelbw.de</t>
  </si>
  <si>
    <t>Heidehofstr. 27a</t>
  </si>
  <si>
    <t>0160 90453415</t>
  </si>
  <si>
    <t>Kauzenhecke 13</t>
  </si>
  <si>
    <t>640 60 05</t>
  </si>
  <si>
    <t>Weidenweg 1</t>
  </si>
  <si>
    <t>bhaering@gmx.net</t>
  </si>
  <si>
    <t>Luisenstr. 4</t>
  </si>
  <si>
    <t>26 45 58</t>
  </si>
  <si>
    <t>GERBER</t>
  </si>
  <si>
    <t>Olga</t>
  </si>
  <si>
    <t>0152 21950278</t>
  </si>
  <si>
    <t>olga-gerber@gmx.de</t>
  </si>
  <si>
    <t>N (Balle)</t>
  </si>
  <si>
    <t xml:space="preserve">N ( ursp Loukaridis) </t>
  </si>
  <si>
    <t>N (Weiler)</t>
  </si>
  <si>
    <t>BALABANOV</t>
  </si>
  <si>
    <t>Yordan</t>
  </si>
  <si>
    <t>Frankfurter Str. 37</t>
  </si>
  <si>
    <t>0176 22565955</t>
  </si>
  <si>
    <t>yordan.balabanov@gmail.com</t>
  </si>
  <si>
    <t xml:space="preserve">N (Gollmar) </t>
  </si>
  <si>
    <t>0176 70153819</t>
  </si>
  <si>
    <t>anja.ludwig22@gmx.de</t>
  </si>
  <si>
    <t>Florentiner Str. 27</t>
  </si>
  <si>
    <t>0176 92622559</t>
  </si>
  <si>
    <t>nat.smykalova@gmail.com</t>
  </si>
  <si>
    <t>Landhausstr. 60</t>
  </si>
  <si>
    <t>26 23 369</t>
  </si>
  <si>
    <t>m-huber@mail.de</t>
  </si>
  <si>
    <t>Madenstr. 21</t>
  </si>
  <si>
    <t>nina.wuerth@stuggi.com</t>
  </si>
  <si>
    <t>TSAKALIDOU</t>
  </si>
  <si>
    <t>Georgina</t>
  </si>
  <si>
    <t>Isolde-Kurz-Str. 50</t>
  </si>
  <si>
    <t>0171 1262005</t>
  </si>
  <si>
    <t>tsakalidou@yahoo.de</t>
  </si>
  <si>
    <t xml:space="preserve">N (Bunte) </t>
  </si>
  <si>
    <t>POLAT</t>
  </si>
  <si>
    <t>Emine</t>
  </si>
  <si>
    <t>Hallbergerstr. 6</t>
  </si>
  <si>
    <t>0157 87444871</t>
  </si>
  <si>
    <t>polatemine@hotmail.com</t>
  </si>
  <si>
    <t xml:space="preserve">N ( Deger) </t>
  </si>
  <si>
    <t xml:space="preserve"> N ( Großmann) </t>
  </si>
  <si>
    <t>Daniela</t>
  </si>
  <si>
    <t>Blumenstr. 11 b</t>
  </si>
  <si>
    <t>familie-riekers@o2mail.de</t>
  </si>
  <si>
    <t>0177 9279041</t>
  </si>
  <si>
    <t>roesch.kris@gmail.com</t>
  </si>
  <si>
    <t>Kirchheimer Str. 21</t>
  </si>
  <si>
    <t>0162/1630919</t>
  </si>
  <si>
    <t>danagregorova@web.de</t>
  </si>
  <si>
    <t xml:space="preserve">N (Frohnmayer) </t>
  </si>
  <si>
    <t>Lorbeerstr. 44</t>
  </si>
  <si>
    <t>v-h.scheunert@gmx.net</t>
  </si>
  <si>
    <t>Fiechtnerstr. 58</t>
  </si>
  <si>
    <t>0174 9561788</t>
  </si>
  <si>
    <t xml:space="preserve">N ( Wolff) </t>
  </si>
  <si>
    <t>Ricarda-Huch-Str. 33</t>
  </si>
  <si>
    <t>44 64 37</t>
  </si>
  <si>
    <t>georg@rose-ol.de</t>
  </si>
  <si>
    <t>Bernsteinstr. 120</t>
  </si>
  <si>
    <t>Böheimstr. 8</t>
  </si>
  <si>
    <t>0173 1891012</t>
  </si>
  <si>
    <t>Hadiye_caliskan@web.de</t>
  </si>
  <si>
    <t>Erika</t>
  </si>
  <si>
    <t>Ringelnatzweg 12</t>
  </si>
  <si>
    <t>47 26 41</t>
  </si>
  <si>
    <t>Ha-Jo.Schmid@gmx.de</t>
  </si>
  <si>
    <t>Am Klebwald 9/1</t>
  </si>
  <si>
    <t>willi.herzog@gmx.net</t>
  </si>
  <si>
    <t>Steinäcker 41 A</t>
  </si>
  <si>
    <t>0172 7584338</t>
  </si>
  <si>
    <t>sanjkris@gmx.de</t>
  </si>
  <si>
    <t>44 4618</t>
  </si>
  <si>
    <t>maria.motovitski@gmx.de</t>
  </si>
  <si>
    <t>Kelterstr. 59</t>
  </si>
  <si>
    <t>Heiligenbergstr. 100</t>
  </si>
  <si>
    <t>85 65 23</t>
  </si>
  <si>
    <t>0171  6120604</t>
  </si>
  <si>
    <t>h.r.hess@t-online.de</t>
  </si>
  <si>
    <t xml:space="preserve">Ringelnatzweg 12 </t>
  </si>
  <si>
    <t>0151 22334334</t>
  </si>
  <si>
    <t xml:space="preserve">N ( Bier) </t>
  </si>
  <si>
    <t>Wiesenäckerstr. 12</t>
  </si>
  <si>
    <t>Romanomarco@web.de</t>
  </si>
  <si>
    <t>0176 64275245</t>
  </si>
  <si>
    <t>anjabreitkreuz@gmail.com</t>
  </si>
  <si>
    <t>Olgastr. 31</t>
  </si>
  <si>
    <t>0152 33600382</t>
  </si>
  <si>
    <t>kala_singh@hotmail.de</t>
  </si>
  <si>
    <t xml:space="preserve">STAIB </t>
  </si>
  <si>
    <t>Gerald</t>
  </si>
  <si>
    <t>Kernenblickstr. 3</t>
  </si>
  <si>
    <t>0157 71989963</t>
  </si>
  <si>
    <t>gerald.staib@googlemail.com</t>
  </si>
  <si>
    <t xml:space="preserve"> N ( Kablinovic) </t>
  </si>
  <si>
    <t>Bebelstr. 29</t>
  </si>
  <si>
    <t>63 63 031</t>
  </si>
  <si>
    <t>Fred-Uhlman-Str. 20</t>
  </si>
  <si>
    <t>89 25 67 75</t>
  </si>
  <si>
    <t>hanspeterschuetz@web.de</t>
  </si>
  <si>
    <t>Tuttlingerstr. 35</t>
  </si>
  <si>
    <t>0178  1677898</t>
  </si>
  <si>
    <t>m.fischer-witzmann@gmx.de</t>
  </si>
  <si>
    <t>Hohenheimer Str. 16</t>
  </si>
  <si>
    <t>31 67 866</t>
  </si>
  <si>
    <t>0177 3783098</t>
  </si>
  <si>
    <t>christian.boine@freenet.de</t>
  </si>
  <si>
    <t>Klara-Neuburger-Str. 1</t>
  </si>
  <si>
    <t>Gosheimer Weg 29</t>
  </si>
  <si>
    <t>alexa.holthaus@web.de</t>
  </si>
  <si>
    <t>Dr. Attila Sebö &lt;praxis.dr.seboe@gmail.com&gt;</t>
  </si>
  <si>
    <t>Bernsteinstr. 20</t>
  </si>
  <si>
    <t>0160 985 40 786</t>
  </si>
  <si>
    <t>urtejacobi@yahoo.de</t>
  </si>
  <si>
    <t>Trossingerstr. 49</t>
  </si>
  <si>
    <t>0160 8032006</t>
  </si>
  <si>
    <t>petraarnold@arcor.de</t>
  </si>
  <si>
    <t xml:space="preserve">Barbara </t>
  </si>
  <si>
    <t>Kirchheimer Str. 30</t>
  </si>
  <si>
    <t>0171 4219161</t>
  </si>
  <si>
    <t>( 4516712 , Tel vom Sohn)</t>
  </si>
  <si>
    <t>Äckerwaldstr. 26</t>
  </si>
  <si>
    <t>SCHENKL</t>
  </si>
  <si>
    <t>Im unteren Kienle 2c</t>
  </si>
  <si>
    <t>0163 8304911</t>
  </si>
  <si>
    <t>Florentiner Str. 6</t>
  </si>
  <si>
    <t>Wagenburgstr. 72</t>
  </si>
  <si>
    <t>46 19 65</t>
  </si>
  <si>
    <t>0176 22157709</t>
  </si>
  <si>
    <t>Dejan.komatovic@gmx.de</t>
  </si>
  <si>
    <t>Bazlenstr. 11</t>
  </si>
  <si>
    <t>0163 7665204</t>
  </si>
  <si>
    <t>mail@sonja-theissen.de</t>
  </si>
  <si>
    <t>Graf-von-Galen-Str. 16 C</t>
  </si>
  <si>
    <t>Elmedina@gmx.net</t>
  </si>
  <si>
    <t xml:space="preserve">Email=Tochter! </t>
  </si>
  <si>
    <t>Bebelstr. 88</t>
  </si>
  <si>
    <t>0162 8827557</t>
  </si>
  <si>
    <t>caliskan1985@hotmail.de</t>
  </si>
  <si>
    <t>Kleinhohenheimerstr. 5</t>
  </si>
  <si>
    <t>0175 9041907</t>
  </si>
  <si>
    <t>sturm-ziegler@gmx.de</t>
  </si>
  <si>
    <t>Klara-Neuburger-Str. 17</t>
  </si>
  <si>
    <t>47 97 749</t>
  </si>
  <si>
    <t>evadepner@yahoo.de</t>
  </si>
  <si>
    <t>Augustenstr. 120</t>
  </si>
  <si>
    <t>61 31 42</t>
  </si>
  <si>
    <t>dome76@live.de</t>
  </si>
  <si>
    <t>Isegrimweg 30</t>
  </si>
  <si>
    <t>44 31 61</t>
  </si>
  <si>
    <t>andreas.o.metzger@gmx.de</t>
  </si>
  <si>
    <t>0151 52662317</t>
  </si>
  <si>
    <t>mail@felixwiemken.de</t>
  </si>
  <si>
    <t>47 38 14</t>
  </si>
  <si>
    <t>dieter-heitzmann@t-online.de</t>
  </si>
  <si>
    <t xml:space="preserve">Fred-Uhlman-Str. 2 </t>
  </si>
  <si>
    <t xml:space="preserve">44 74 64 </t>
  </si>
  <si>
    <t>zobel.bb@t-online.de</t>
  </si>
  <si>
    <t>Törlesäckerstr. 9</t>
  </si>
  <si>
    <t>mmadt@t-online.de</t>
  </si>
  <si>
    <t xml:space="preserve">Walter-Flex-Straße 66 </t>
  </si>
  <si>
    <t>s.karrmann@web.de</t>
  </si>
  <si>
    <t xml:space="preserve">Aichelbergstr. 1 </t>
  </si>
  <si>
    <t xml:space="preserve">Ostfildern </t>
  </si>
  <si>
    <t xml:space="preserve">mark.roth68@gmx.de </t>
  </si>
  <si>
    <t xml:space="preserve">47 29 27 </t>
  </si>
  <si>
    <t>Fred-Uhlman-Str. 3</t>
  </si>
  <si>
    <t>47 35 49</t>
  </si>
  <si>
    <t>Klobusinski@gmx.de</t>
  </si>
  <si>
    <t>Stitzenburgstr. 7</t>
  </si>
  <si>
    <t>0179 9446727</t>
  </si>
  <si>
    <t>anjacbecker@googlemail.com</t>
  </si>
  <si>
    <t>Helene-Lange-Str. 43</t>
  </si>
  <si>
    <t>3 65 62 44</t>
  </si>
  <si>
    <t>ech.szyska@yahoo.de</t>
  </si>
  <si>
    <t>Lorbeerstraße 19</t>
  </si>
  <si>
    <t>jgoepfert@gmx.de</t>
  </si>
  <si>
    <t>Theodor-Rothschild-Str. 108</t>
  </si>
  <si>
    <t>belen.izzet@live.de</t>
  </si>
  <si>
    <t>Planckstr. 13</t>
  </si>
  <si>
    <t>46 74 90</t>
  </si>
  <si>
    <t>matr40rue@t-online.de</t>
  </si>
  <si>
    <t>Alexanderstr. 100</t>
  </si>
  <si>
    <t>0171 4820022</t>
  </si>
  <si>
    <t>holger.eichhorn@gmail.com</t>
  </si>
  <si>
    <t>44 02 386</t>
  </si>
  <si>
    <t>ademyesilyurt@web.de</t>
  </si>
  <si>
    <t>Walter-Flex-Str. 84</t>
  </si>
  <si>
    <t>rainer.schmieg@gmx.net</t>
  </si>
  <si>
    <t>Flattichstr. 20</t>
  </si>
  <si>
    <t xml:space="preserve"> Leinfelden- Echterdingen</t>
  </si>
  <si>
    <t>45 74 68</t>
  </si>
  <si>
    <t>Bernsteinstr. 122</t>
  </si>
  <si>
    <t>morczinski@t-online.de</t>
  </si>
  <si>
    <t>Torstr. 19</t>
  </si>
  <si>
    <t>07158/986065</t>
  </si>
  <si>
    <t>vw1302@vodafone.de</t>
  </si>
  <si>
    <t>Katrin</t>
  </si>
  <si>
    <t>Neckarstr. 214</t>
  </si>
  <si>
    <t>1573/9311730</t>
  </si>
  <si>
    <t>katrin.allmendinger@web.de</t>
  </si>
  <si>
    <t>Staigerstr. 13</t>
  </si>
  <si>
    <t>helga.renges@t-online.de</t>
  </si>
  <si>
    <t>Alexanderstr. 180</t>
  </si>
  <si>
    <t>504 49 701</t>
  </si>
  <si>
    <t>0173 614 9569</t>
  </si>
  <si>
    <t>adlerab@web.de</t>
  </si>
  <si>
    <t>Florentiner Str. 21</t>
  </si>
  <si>
    <t>0151 66502846</t>
  </si>
  <si>
    <t>kis_ferencz@yahoo.com</t>
  </si>
  <si>
    <t>Ringelnatzweg 6</t>
  </si>
  <si>
    <t>47 93 849</t>
  </si>
  <si>
    <t>ingrid-kaufmann@hotmail.com</t>
  </si>
  <si>
    <t>Plochinger Straße 1</t>
  </si>
  <si>
    <t>0151 58535302</t>
  </si>
  <si>
    <t>andreas.muench3@googlemail.com</t>
  </si>
  <si>
    <t>21.10.2020-30.10.2020</t>
  </si>
  <si>
    <t xml:space="preserve">Nov. </t>
  </si>
  <si>
    <t>Dez</t>
  </si>
  <si>
    <t>Jan</t>
  </si>
  <si>
    <t>Feb</t>
  </si>
  <si>
    <t>Mrz</t>
  </si>
  <si>
    <t>Apr</t>
  </si>
  <si>
    <t>Mai</t>
  </si>
  <si>
    <t>Jun</t>
  </si>
  <si>
    <t>Okt</t>
  </si>
  <si>
    <t>Jul</t>
  </si>
  <si>
    <t>Aug</t>
  </si>
  <si>
    <t>Sep</t>
  </si>
  <si>
    <t>Okt 30.10.20</t>
  </si>
  <si>
    <t xml:space="preserve">Gem.-Flächen-Anteil </t>
  </si>
  <si>
    <t>Parzellenfläche</t>
  </si>
  <si>
    <t>Gfl  Rechnungsgrundlage bis 2020)</t>
  </si>
  <si>
    <t xml:space="preserve">P bis 2020 </t>
  </si>
  <si>
    <t>P ab 2021</t>
  </si>
  <si>
    <t xml:space="preserve">Pachtzins  pro Gem.-Flächen -Anteil </t>
  </si>
  <si>
    <t>Pachtzins pro ar</t>
  </si>
  <si>
    <t xml:space="preserve">Pacht pro Gem.-Flächenanteil </t>
  </si>
  <si>
    <t>Wasser Verbrauch</t>
  </si>
  <si>
    <t xml:space="preserve">Verbrauchskosten </t>
  </si>
  <si>
    <t>Re v. 16.03.2020</t>
  </si>
  <si>
    <t>04.09.2019 -20.10.2019</t>
  </si>
  <si>
    <t>Re.v. 16.10.2020</t>
  </si>
  <si>
    <t>abgelesen</t>
  </si>
  <si>
    <t>selbst ermittelt</t>
  </si>
  <si>
    <t xml:space="preserve">von ENBW tatsächlich gutgeschrieben </t>
  </si>
  <si>
    <t xml:space="preserve">Wasserpreis+5% = </t>
  </si>
  <si>
    <t xml:space="preserve">abgelesen </t>
  </si>
  <si>
    <t>RE v. 24.11.20</t>
  </si>
  <si>
    <t>1.11.2019 -31.12.2019</t>
  </si>
  <si>
    <t>1.1.2020-29.06.2020</t>
  </si>
  <si>
    <t>30.06.2020-31.10.2020</t>
  </si>
  <si>
    <t xml:space="preserve">Abgelesen Detsch </t>
  </si>
  <si>
    <t xml:space="preserve">Abgelesen Zähler städt. Gärten </t>
  </si>
  <si>
    <t>1.11.2018 -31.12.2018</t>
  </si>
  <si>
    <t>1.1.2029-31.10.2029</t>
  </si>
  <si>
    <t>RE v. 31.03.20</t>
  </si>
  <si>
    <t xml:space="preserve">KÜHWASEN </t>
  </si>
  <si>
    <t>städt. Gärten KW</t>
  </si>
  <si>
    <t>RE v. 25.03.20</t>
  </si>
  <si>
    <t>1.1.2020-10.08.20</t>
  </si>
  <si>
    <t>11.08.2020-03.09.20</t>
  </si>
  <si>
    <t>03.09.20-20.11.20</t>
  </si>
  <si>
    <t>11.11.18-31.12.18</t>
  </si>
  <si>
    <t>1.1.2019-12.08.19</t>
  </si>
  <si>
    <t>13.08.2019 - 3.09.2019</t>
  </si>
  <si>
    <t>4.09.2019-16.11.2019</t>
  </si>
  <si>
    <t xml:space="preserve">Messpreis € pro Jahr /365 Tage </t>
  </si>
  <si>
    <t>Umsatz-steuer Faktor</t>
  </si>
  <si>
    <t xml:space="preserve">Betrag über die JR von XY bei den Mitgleidern eingezogen </t>
  </si>
  <si>
    <t xml:space="preserve">Höhe das auf die Mitglieder umzulegenden Betrages  </t>
  </si>
  <si>
    <t>errechn. Grundpreis + Messpreis brutto</t>
  </si>
  <si>
    <t>in RE enthaltener Grundpreis + Messpreis brutto</t>
  </si>
  <si>
    <t>errechnet Summe
Grunpreis + Messpreis +
Verbrauchs-
kosten
brutto</t>
  </si>
  <si>
    <t>in RE ausgewiesene Verbrauchs-
kosten netto</t>
  </si>
  <si>
    <t xml:space="preserve">Ablesestand lt. eigener Berechnung  2.1.2020  (nicht durch RE belegt) </t>
  </si>
  <si>
    <t>in RE enthaltener Grundpreis + Messpreis netto</t>
  </si>
  <si>
    <t xml:space="preserve">Verbrauchspreis ENBW </t>
  </si>
  <si>
    <t>RE v. 30.09.20</t>
  </si>
  <si>
    <t>17.11.2019-31.12.2019</t>
  </si>
  <si>
    <t>Kontrolle</t>
  </si>
  <si>
    <t xml:space="preserve">SILBERWALD </t>
  </si>
  <si>
    <t>1.01.2019-03.09.2019</t>
  </si>
  <si>
    <t>4.11.18 -31.12.2018</t>
  </si>
  <si>
    <t>01.01.20-03.09.20</t>
  </si>
  <si>
    <t>04.09.20-30.10.20</t>
  </si>
  <si>
    <t>04.09.19 - 20.10.2019</t>
  </si>
  <si>
    <t>21.10.19 - 31.12.2019</t>
  </si>
  <si>
    <t xml:space="preserve">Wasserkosten KW </t>
  </si>
  <si>
    <t xml:space="preserve">Wasserkosten SW </t>
  </si>
  <si>
    <t xml:space="preserve">Wasserkosten städt. Gäerten  KW </t>
  </si>
  <si>
    <t>1.11.2019-31.10.2020</t>
  </si>
  <si>
    <t>20.10.2019-30.10.2020</t>
  </si>
  <si>
    <t>17.11.2019-20.11.2020</t>
  </si>
  <si>
    <t xml:space="preserve">Kosten Schwundumlage Gesamtwasserkosten /Gesamt Verbrauch </t>
  </si>
  <si>
    <t>Diffenenz</t>
  </si>
  <si>
    <t>mathem. Schwundumlage</t>
  </si>
  <si>
    <t>Festgelegte  Schwundumlage</t>
  </si>
  <si>
    <t>Ermittelte Wasserkosten</t>
  </si>
  <si>
    <t xml:space="preserve">Ermittelter Wasser-verbrauch </t>
  </si>
  <si>
    <t xml:space="preserve">Zur Ermittlung der Wasserkosten der Schwundumlage: </t>
  </si>
  <si>
    <t xml:space="preserve">Achtung weicht vom Wasserpreis/m" ab, da auch Grundkosten anteilig enthalten sind </t>
  </si>
  <si>
    <t xml:space="preserve">Wasserpreis je m" = </t>
  </si>
  <si>
    <t xml:space="preserve">2,56x 1,05 </t>
  </si>
  <si>
    <t xml:space="preserve">Re 18.01.2021 </t>
  </si>
  <si>
    <t xml:space="preserve">raabe.roman@googlemail.com
</t>
  </si>
  <si>
    <t>Gorch-Fock-Str. 29</t>
  </si>
  <si>
    <t>N (Hedwig)</t>
  </si>
  <si>
    <t>SCHRÖDER</t>
  </si>
  <si>
    <t>Eduard-Steinle-Str. 38</t>
  </si>
  <si>
    <t>N (Tröger)</t>
  </si>
  <si>
    <t>CÖRLIN</t>
  </si>
  <si>
    <t>Verena</t>
  </si>
  <si>
    <t>Isolde-Kurz-Str. 53</t>
  </si>
  <si>
    <t>0176 61159063</t>
  </si>
  <si>
    <t>verena.coerlin@posteo.de</t>
  </si>
  <si>
    <t>N (Felker)</t>
  </si>
  <si>
    <t>N (Wall)</t>
  </si>
  <si>
    <t>ute.zeller@stuttgart.de</t>
  </si>
  <si>
    <t>Birkacher Str. 3</t>
  </si>
  <si>
    <t>Lilienthalstr. 21</t>
  </si>
  <si>
    <t xml:space="preserve"> 01522 8767767</t>
  </si>
  <si>
    <t>info@die3buchwalds.de</t>
  </si>
  <si>
    <t>Zählerstand 11/21 [m3]</t>
  </si>
  <si>
    <t>BÄHR</t>
  </si>
  <si>
    <t>Barbara</t>
  </si>
  <si>
    <t>Kümmelweg 23</t>
  </si>
  <si>
    <t>2361831</t>
  </si>
  <si>
    <t>barbara-baehr@t-online.de</t>
  </si>
  <si>
    <t>N (Redlinger - zuvor Gamon)</t>
  </si>
  <si>
    <t>MAYER</t>
  </si>
  <si>
    <t>Yvonne</t>
  </si>
  <si>
    <t>Abelsbergstr. 78</t>
  </si>
  <si>
    <t>0176 56752740</t>
  </si>
  <si>
    <t>yv.mayer@web.de</t>
  </si>
  <si>
    <t>N (Abu Tammam)</t>
  </si>
  <si>
    <t>73760 Ostfildern</t>
  </si>
  <si>
    <t>N (Müller)</t>
  </si>
  <si>
    <t>Wasserabrechnung 2021 für SW, KW und städtische KW-Gärten</t>
  </si>
  <si>
    <t>1.1.2020 -03.09.2021</t>
  </si>
  <si>
    <t>RE 1.10.2021</t>
  </si>
  <si>
    <t>RE (17.10.2021)</t>
  </si>
  <si>
    <t xml:space="preserve">4.09.21-16.10.2021 </t>
  </si>
  <si>
    <t xml:space="preserve">Gesamtbeträge KW </t>
  </si>
  <si>
    <t>Wasser-preis</t>
  </si>
  <si>
    <t>RE v. 15.10.2021</t>
  </si>
  <si>
    <t>21.11.2020-3.09.2021</t>
  </si>
  <si>
    <t>4.09.2021-16.10.2021</t>
  </si>
  <si>
    <t>0,05/0,07</t>
  </si>
  <si>
    <t xml:space="preserve">Gesamtbeträge SW </t>
  </si>
  <si>
    <t>stdt. Gärten KW</t>
  </si>
  <si>
    <t>01.11.2020-31.10.2021</t>
  </si>
  <si>
    <t>Anlage</t>
  </si>
  <si>
    <r>
      <t xml:space="preserve">RV v. 23.11.2021/ 
</t>
    </r>
    <r>
      <rPr>
        <sz val="11"/>
        <color rgb="FFFF0000"/>
        <rFont val="Arial"/>
        <family val="2"/>
      </rPr>
      <t xml:space="preserve">Entspricht nicht der Realität ! </t>
    </r>
  </si>
  <si>
    <t>01.11.2020-16.10.2021</t>
  </si>
  <si>
    <t xml:space="preserve">RE Korrektur, 
angefordert </t>
  </si>
  <si>
    <t>Abgelesen Zähler städt. Gärten 11/2021</t>
  </si>
  <si>
    <t>Kontrolle städt. Gärten</t>
  </si>
  <si>
    <t>2,67668x 1,07</t>
  </si>
  <si>
    <t>KOLSO</t>
  </si>
  <si>
    <t>Müge</t>
  </si>
  <si>
    <t>Azuritweg 5</t>
  </si>
  <si>
    <t>0157-51045777</t>
  </si>
  <si>
    <t>muge-kolso@hotmail.de</t>
  </si>
  <si>
    <t xml:space="preserve">N ( Sachs, Dursun) </t>
  </si>
  <si>
    <t>albrecht.pfaff@t-online.de</t>
  </si>
  <si>
    <t>HASANOVIC</t>
  </si>
  <si>
    <t>Semir</t>
  </si>
  <si>
    <t>Traubenstraße 26</t>
  </si>
  <si>
    <t>0152 58418268</t>
  </si>
  <si>
    <t>mrp88@gmx.de</t>
  </si>
  <si>
    <t>N (Verein, Meister)</t>
  </si>
  <si>
    <t>Bozelen 3</t>
  </si>
  <si>
    <t>kawa11bk@web.de</t>
  </si>
  <si>
    <t>sara-sobral-15@hotmail.de</t>
  </si>
  <si>
    <t>Hanna</t>
  </si>
  <si>
    <t>PAL</t>
  </si>
  <si>
    <t>Fridinger Str. 22</t>
  </si>
  <si>
    <t>0176 84827110</t>
  </si>
  <si>
    <t>dani.pal@outlook.de</t>
  </si>
  <si>
    <t>Balthasar-Neumann-Str. 79</t>
  </si>
  <si>
    <t>Möhringer Str. 12</t>
  </si>
  <si>
    <t>0177 3447063</t>
  </si>
  <si>
    <t>30.11.1979</t>
  </si>
  <si>
    <t xml:space="preserve">N ( Aleksandrov, Pfitzenmaier, Tekin) </t>
  </si>
  <si>
    <t>HÜLSMANN</t>
  </si>
  <si>
    <t>Christa</t>
  </si>
  <si>
    <t>Nordbahnhofstr. 37</t>
  </si>
  <si>
    <t>8261571</t>
  </si>
  <si>
    <t>c.huelsmann@web.de</t>
  </si>
  <si>
    <t>N (Trif)</t>
  </si>
  <si>
    <t>monika.westerhof@gmx.de</t>
  </si>
  <si>
    <t>KOFLER</t>
  </si>
  <si>
    <t>Philipp</t>
  </si>
  <si>
    <t>0151 14442948</t>
  </si>
  <si>
    <t>philippkofler@gmx.net</t>
  </si>
  <si>
    <t>N (Pritsch)</t>
  </si>
  <si>
    <t>Kristijan.Kavas@gmx.de</t>
  </si>
  <si>
    <t>BERG</t>
  </si>
  <si>
    <t>Dr. Christoph</t>
  </si>
  <si>
    <t>Rosenstr. 3</t>
  </si>
  <si>
    <t>01717086613</t>
  </si>
  <si>
    <t>anke_berg@gmx.de</t>
  </si>
  <si>
    <t>N (Jeanette/Sonja Rippl)</t>
  </si>
  <si>
    <t>mkaleja@arcor.de</t>
  </si>
  <si>
    <t>KARA</t>
  </si>
  <si>
    <t>Katalin</t>
  </si>
  <si>
    <t>Korallenweg 12</t>
  </si>
  <si>
    <t>0157 5437-2125</t>
  </si>
  <si>
    <t>kara.katalin.1@gmail.com</t>
  </si>
  <si>
    <t>N (Färber)</t>
  </si>
  <si>
    <t>BRKIC</t>
  </si>
  <si>
    <t>Anita</t>
  </si>
  <si>
    <t>0162 9409482</t>
  </si>
  <si>
    <t>anticevicanita@gmail.com</t>
  </si>
  <si>
    <t>schtze52-stuttgart@web.de</t>
  </si>
  <si>
    <t>jswollmann@gmx.de</t>
  </si>
  <si>
    <t>Dr. Sascha</t>
  </si>
  <si>
    <t>0172 6249776</t>
  </si>
  <si>
    <t>mail@sascha-theissen.de</t>
  </si>
  <si>
    <t>N (Godehardt)</t>
  </si>
  <si>
    <t>KLOKOWSKI</t>
  </si>
  <si>
    <t>Kay</t>
  </si>
  <si>
    <t>Kirchheimer Str. 109</t>
  </si>
  <si>
    <t>96891664</t>
  </si>
  <si>
    <t>0173 7597960</t>
  </si>
  <si>
    <t>kay.klokowski@me.com</t>
  </si>
  <si>
    <t>HIRRLE</t>
  </si>
  <si>
    <t>0176 53813424</t>
  </si>
  <si>
    <t>hirrlehanna@web.de</t>
  </si>
  <si>
    <t xml:space="preserve">N (Martin, Schmidt) </t>
  </si>
  <si>
    <t>BRAUN</t>
  </si>
  <si>
    <t>Melanie</t>
  </si>
  <si>
    <t>Spaichinger Str. 6</t>
  </si>
  <si>
    <t>0162 1675233</t>
  </si>
  <si>
    <t>melbraun@gmx.de</t>
  </si>
  <si>
    <t xml:space="preserve">N (Sandner) </t>
  </si>
  <si>
    <t>SUPHAN</t>
  </si>
  <si>
    <t>Anne</t>
  </si>
  <si>
    <t>Schweitzerstr. 17</t>
  </si>
  <si>
    <t>0176 92468943</t>
  </si>
  <si>
    <t>anne@suphan.de</t>
  </si>
  <si>
    <t xml:space="preserve">N ( Ringel, Ganz) </t>
  </si>
  <si>
    <t>Walter-Flex-Str.44B</t>
  </si>
  <si>
    <t>ÖDES</t>
  </si>
  <si>
    <t>Hilal</t>
  </si>
  <si>
    <t>0176 24635795</t>
  </si>
  <si>
    <t>h.oedes@gmx.de</t>
  </si>
  <si>
    <t>Stietenroth_Anja@web.de</t>
  </si>
  <si>
    <t>SCHÄFER</t>
  </si>
  <si>
    <t>Mike</t>
  </si>
  <si>
    <t>Wolfschlugener Str. 2a</t>
  </si>
  <si>
    <t>0173 8298280</t>
  </si>
  <si>
    <t>mike-stuttgart@t-online.de</t>
  </si>
  <si>
    <t>Zählerstand 10/22 [m3]</t>
  </si>
  <si>
    <t>Neue Uhr 4/2022</t>
  </si>
  <si>
    <t>JR 2022-23</t>
  </si>
  <si>
    <t xml:space="preserve">Kontrolle Pachtfläche </t>
  </si>
  <si>
    <t>RE 09.11.22</t>
  </si>
  <si>
    <t>04.09.22 - 24.10.22</t>
  </si>
  <si>
    <t>16.10.21 - 03.09.22</t>
  </si>
  <si>
    <t>RE 03.11.22</t>
  </si>
  <si>
    <t>RE v. 11.11.22</t>
  </si>
  <si>
    <t>4.9.2022-30.10.22</t>
  </si>
  <si>
    <t>RE v. XXX</t>
  </si>
  <si>
    <t>17.10.21-03.09.22</t>
  </si>
  <si>
    <r>
      <t xml:space="preserve">RE v. xxx
</t>
    </r>
    <r>
      <rPr>
        <sz val="11"/>
        <color rgb="FFFF0000"/>
        <rFont val="Arial"/>
        <family val="2"/>
      </rPr>
      <t xml:space="preserve">Entspricht nicht der Realität ! </t>
    </r>
  </si>
  <si>
    <t>16.10.21 -17.10.22</t>
  </si>
  <si>
    <t xml:space="preserve">RE angenommene Abrechnungszeitraum  </t>
  </si>
  <si>
    <t>2,715888x 1,07</t>
  </si>
  <si>
    <t xml:space="preserve">ENBE RE 2022: </t>
  </si>
  <si>
    <t xml:space="preserve">Gesamtwasserkosten verein 2022  lt. ENBW </t>
  </si>
  <si>
    <t xml:space="preserve">Wasserkosten städt. Gärten  KW </t>
  </si>
  <si>
    <t>Zählerstand 10/23 [m3]</t>
  </si>
  <si>
    <t>bakurewitsch@outlook.de</t>
  </si>
  <si>
    <t>PRSKALO</t>
  </si>
  <si>
    <t>Igor</t>
  </si>
  <si>
    <t>Am Klingenbach 85</t>
  </si>
  <si>
    <t>0172 6672687</t>
  </si>
  <si>
    <t>igorprskalo@gmx.de</t>
  </si>
  <si>
    <t>N (ehem. Genschel)</t>
  </si>
  <si>
    <t>marija_wiedmann@web.de</t>
  </si>
  <si>
    <t xml:space="preserve">N (Tepedüzü) </t>
  </si>
  <si>
    <t>GLAUCHE</t>
  </si>
  <si>
    <t>Schopenhauer Str. 41B</t>
  </si>
  <si>
    <t>0178 5001787</t>
  </si>
  <si>
    <t>janglauche@yahoo.de</t>
  </si>
  <si>
    <t>N (Schuler)</t>
  </si>
  <si>
    <t>SPERL</t>
  </si>
  <si>
    <t>Anna</t>
  </si>
  <si>
    <t>Reinachweg 6</t>
  </si>
  <si>
    <t>sperls@gmx.net</t>
  </si>
  <si>
    <t>bairemde@Yahoo.com</t>
  </si>
  <si>
    <t>DONINA</t>
  </si>
  <si>
    <t>Irina</t>
  </si>
  <si>
    <t>Wiesenäckerstraße 12</t>
  </si>
  <si>
    <t>0176 - 82212116</t>
  </si>
  <si>
    <t>irina.donina89@gmail.com</t>
  </si>
  <si>
    <t>N( Maurer)</t>
  </si>
  <si>
    <t>EITLE</t>
  </si>
  <si>
    <t>Bernsteinstr. 2B</t>
  </si>
  <si>
    <t>0170 3525927</t>
  </si>
  <si>
    <t>verena.eitle@t-online.de</t>
  </si>
  <si>
    <t>alex.schroe@me.com</t>
  </si>
  <si>
    <t>RASULI</t>
  </si>
  <si>
    <t>Mostafa</t>
  </si>
  <si>
    <t>Straifstr. 17</t>
  </si>
  <si>
    <t>0157 32218807</t>
  </si>
  <si>
    <t>mostafarasuli57@gmail.com</t>
  </si>
  <si>
    <t>0176 48195235</t>
  </si>
  <si>
    <t>NIKOLIC</t>
  </si>
  <si>
    <t>Aleksandar</t>
  </si>
  <si>
    <t>Azuritweg 3</t>
  </si>
  <si>
    <t>0176 47375500</t>
  </si>
  <si>
    <t>mianikolic2910@gmail.com</t>
  </si>
  <si>
    <t>ROSTOM</t>
  </si>
  <si>
    <t>Ahmad</t>
  </si>
  <si>
    <t>Richard-Schmid-Str. 24</t>
  </si>
  <si>
    <t>0157 58995394</t>
  </si>
  <si>
    <t>selinahmed50@gmail.com</t>
  </si>
  <si>
    <t>zijad_d@hotmail.com</t>
  </si>
  <si>
    <t>TEMIZ</t>
  </si>
  <si>
    <t>Fatma</t>
  </si>
  <si>
    <t>Brückenstr. 42</t>
  </si>
  <si>
    <t>0179 7328017</t>
  </si>
  <si>
    <t>temiz50@gmail.com</t>
  </si>
  <si>
    <t>Hölzleswiesen 36</t>
  </si>
  <si>
    <t>N (Reisinger)</t>
  </si>
  <si>
    <t>TUTKUNER</t>
  </si>
  <si>
    <t>0176 85664544</t>
  </si>
  <si>
    <t>duygu_d@live.de</t>
  </si>
  <si>
    <t>seyma_@outlook.de</t>
  </si>
  <si>
    <t>martin.haubner@icloud.com</t>
  </si>
  <si>
    <t>Dattelweg 25 B</t>
  </si>
  <si>
    <t>STRACK</t>
  </si>
  <si>
    <t>Corneliusstr.  29</t>
  </si>
  <si>
    <t>0176 5031587</t>
  </si>
  <si>
    <t>e.strack@gmx.net</t>
  </si>
  <si>
    <t>Bonhoefferstraße 2/13</t>
  </si>
  <si>
    <t>KNORR</t>
  </si>
  <si>
    <t>457310</t>
  </si>
  <si>
    <t>sul.knorr@t-online.de</t>
  </si>
  <si>
    <t>KLIPA</t>
  </si>
  <si>
    <t>Jasmin</t>
  </si>
  <si>
    <t>Bildäckerstr. 10</t>
  </si>
  <si>
    <t>0179 8114690</t>
  </si>
  <si>
    <t>jasmin_klipa@yahoo.com</t>
  </si>
  <si>
    <t>N (Zoll)</t>
  </si>
  <si>
    <t>Pfennigäcker 17</t>
  </si>
  <si>
    <t xml:space="preserve"> N ( Maric, Alliaj, Iannibelli-Krasek) </t>
  </si>
  <si>
    <t xml:space="preserve">RE liegt am 2.01.24 noch nicht vor. </t>
  </si>
  <si>
    <t>25.10.22 - 26.11.23</t>
  </si>
  <si>
    <t xml:space="preserve"> in Rechn. Enth. Messpreis € pro Jahr /365 Tage </t>
  </si>
  <si>
    <t>30.10.22- 25.10.23</t>
  </si>
  <si>
    <t>Wasserabrechnung 2022 (im Jahr 2023)  für SW, KW und städtische KW-Gärten</t>
  </si>
  <si>
    <t>Wasserabrechnung 2023 ( im Jahr 2024)  für SW, KW und städtische KW-Gärten</t>
  </si>
  <si>
    <t>Gesamtbeträge KW 2023</t>
  </si>
  <si>
    <t>Gesamtbeträge KW 2022</t>
  </si>
  <si>
    <t>Gesamtbeträge SW 2023</t>
  </si>
  <si>
    <t>Gesamtbeträge SW 2022</t>
  </si>
  <si>
    <t xml:space="preserve">Wasser-preis /m² netto </t>
  </si>
  <si>
    <t>RE v. 24.11.23 / 01.01.23 -31.10.23</t>
  </si>
  <si>
    <t>17.10.22-31.12.22</t>
  </si>
  <si>
    <t>1.1.23 -31.10.23</t>
  </si>
  <si>
    <t xml:space="preserve">in Abrechnung angenommener Abrechnungszeitraum  </t>
  </si>
  <si>
    <t xml:space="preserve">Gesamtwasserkosten verein 2023  lt. ENBW </t>
  </si>
  <si>
    <t>Ermittelter Wasser-verbrauch lt. Hauptuhr</t>
  </si>
  <si>
    <t xml:space="preserve">Ermittelter Wasser-verbrauch lt. Summe Einzelverbräuche </t>
  </si>
  <si>
    <t>2,982x 1,07</t>
  </si>
  <si>
    <t>Auf der Steig 60</t>
  </si>
  <si>
    <t>GÖLDNER</t>
  </si>
  <si>
    <t>Thorben</t>
  </si>
  <si>
    <t>Hummelbergstr. 16</t>
  </si>
  <si>
    <t>0173 3608669</t>
  </si>
  <si>
    <t>T_Goeldner@gmx.de</t>
  </si>
  <si>
    <t>24.4.1884</t>
  </si>
  <si>
    <t xml:space="preserve">Najrees </t>
  </si>
  <si>
    <t>Mussa</t>
  </si>
  <si>
    <t>Paprikastr.43</t>
  </si>
  <si>
    <t>015772195183</t>
  </si>
  <si>
    <t>najress1@gmail.com</t>
  </si>
  <si>
    <t>N (Pöschel, zuvor Magar)</t>
  </si>
  <si>
    <t>Nilsson</t>
  </si>
  <si>
    <t>Eddie</t>
  </si>
  <si>
    <t>Hauptstr. 36</t>
  </si>
  <si>
    <t>eddie@logicapplied.se</t>
  </si>
  <si>
    <t>N (Weiblen)</t>
  </si>
  <si>
    <t>Brand</t>
  </si>
  <si>
    <t>Dr. Katharina</t>
  </si>
  <si>
    <t>Gerokstaffel 1</t>
  </si>
  <si>
    <t>0172 6693313</t>
  </si>
  <si>
    <t>katharina_brand@gmx.net</t>
  </si>
  <si>
    <t xml:space="preserve"> N (Ebert) </t>
  </si>
  <si>
    <t>Krüger</t>
  </si>
  <si>
    <t>Jessica</t>
  </si>
  <si>
    <t>Mandarinenweg 15</t>
  </si>
  <si>
    <t>0176 32773898</t>
  </si>
  <si>
    <t>jessica.krueger.2@gmx.de</t>
  </si>
  <si>
    <t>N (Schönweitz, Strecker, Verein)</t>
  </si>
  <si>
    <t>Ruckenbrod</t>
  </si>
  <si>
    <t>Wiesenäckerstr. 15</t>
  </si>
  <si>
    <t>0157 54797953</t>
  </si>
  <si>
    <t>feruck@gmx.net</t>
  </si>
  <si>
    <t>N (Herget)</t>
  </si>
  <si>
    <t xml:space="preserve">Lid </t>
  </si>
  <si>
    <t>Jannis</t>
  </si>
  <si>
    <t>Buowaldstr. 27</t>
  </si>
  <si>
    <t>016091996711</t>
  </si>
  <si>
    <t>jannis.lid@gmx.de</t>
  </si>
  <si>
    <t xml:space="preserve"> N ( Caliskan) </t>
  </si>
  <si>
    <t xml:space="preserve"> N( Ramminger) </t>
  </si>
  <si>
    <t>Weidler</t>
  </si>
  <si>
    <t>Tomasz</t>
  </si>
  <si>
    <t>Wildseestr. 14</t>
  </si>
  <si>
    <t>0152 26662041</t>
  </si>
  <si>
    <t>tomaszweidler@yahoo.com</t>
  </si>
  <si>
    <t xml:space="preserve">Spahic-Kajovic </t>
  </si>
  <si>
    <t>Naida</t>
  </si>
  <si>
    <t xml:space="preserve">Wasenstr. </t>
  </si>
  <si>
    <t>0178 6056013</t>
  </si>
  <si>
    <t>spahic.naida94@gmail.com</t>
  </si>
  <si>
    <t xml:space="preserve">Abdelgovic </t>
  </si>
  <si>
    <t>OLIVEROS-CALVO</t>
  </si>
  <si>
    <t>Manuel</t>
  </si>
  <si>
    <t>Friedrichstraße 30</t>
  </si>
  <si>
    <t>Denkendorf</t>
  </si>
  <si>
    <t>0170 5940129</t>
  </si>
  <si>
    <t>moc86@icloud.com</t>
  </si>
  <si>
    <t>N (Regner, Bernart)</t>
  </si>
  <si>
    <t>Rexhepai</t>
  </si>
  <si>
    <t>Dr.</t>
  </si>
  <si>
    <t>Bernsteinstr. 4c</t>
  </si>
  <si>
    <t>Bentrup</t>
  </si>
  <si>
    <t>Fritz-Bauer-Str. 18</t>
  </si>
  <si>
    <t xml:space="preserve">Charaf </t>
  </si>
  <si>
    <t>BAIZID</t>
  </si>
  <si>
    <t>Abu Bakar Mohammad</t>
  </si>
  <si>
    <t>Bockelstr. 49</t>
  </si>
  <si>
    <t>0176 70080296</t>
  </si>
  <si>
    <t>baizid@web.de</t>
  </si>
  <si>
    <t>N (Solar)</t>
  </si>
  <si>
    <t>Wächterstr. 8</t>
  </si>
  <si>
    <t>47759410</t>
  </si>
  <si>
    <t>aschuetz78@web.de</t>
  </si>
  <si>
    <t>MANICKE-KARCHER</t>
  </si>
  <si>
    <t>Stefanie</t>
  </si>
  <si>
    <t>Wilhelm-Geyer-Weg 11</t>
  </si>
  <si>
    <t>0173 5886482</t>
  </si>
  <si>
    <t>stefanie.manicke@gmx.de</t>
  </si>
  <si>
    <t xml:space="preserve"> N (Troiano, Bell) </t>
  </si>
  <si>
    <t xml:space="preserve">Zählerstand 11/24 [m3] </t>
  </si>
  <si>
    <t>Wasserabrechnung 2024 ( im Jahr 2025  für SW, KW und städtische KW-Gärten</t>
  </si>
  <si>
    <t xml:space="preserve">RE liegt am 10.01.25 noch nicht vor. </t>
  </si>
  <si>
    <t>27.11.23- 27.10.24</t>
  </si>
  <si>
    <t xml:space="preserve">Buowaldstr. 49a </t>
  </si>
  <si>
    <t>25.10.23-16.10.24</t>
  </si>
  <si>
    <t>16.10.24 -8.11.24</t>
  </si>
  <si>
    <t xml:space="preserve">Rücklage VHDach </t>
  </si>
  <si>
    <t xml:space="preserve">geschätzt! </t>
  </si>
  <si>
    <t>Hans-Ullrich</t>
  </si>
  <si>
    <t>Werner-Siemens-Str. 1</t>
  </si>
  <si>
    <t>Neuhausen</t>
  </si>
  <si>
    <t>07158-3299</t>
  </si>
  <si>
    <t>vucs@aol.com</t>
  </si>
  <si>
    <t>Rückst.  Mängelbes.</t>
  </si>
  <si>
    <t>Ali</t>
  </si>
  <si>
    <t xml:space="preserve">Friedrichstraße 27/3 </t>
  </si>
  <si>
    <t xml:space="preserve">60,00 fehlt!  hat 2024 nicht gearbeitet </t>
  </si>
  <si>
    <t xml:space="preserve">Gartenablöse aus ´23 </t>
  </si>
  <si>
    <t>Gabi</t>
  </si>
  <si>
    <t>Trossinger Str. 51</t>
  </si>
  <si>
    <t>4760844</t>
  </si>
  <si>
    <t>gabi.bentrup@t-online.de</t>
  </si>
  <si>
    <t xml:space="preserve">N ( Racolta) </t>
  </si>
  <si>
    <t>VOGT</t>
  </si>
  <si>
    <r>
      <t>m</t>
    </r>
    <r>
      <rPr>
        <vertAlign val="superscript"/>
        <sz val="16"/>
        <rFont val="Arial"/>
        <family val="2"/>
      </rPr>
      <t>3</t>
    </r>
  </si>
  <si>
    <t>parzellengroesse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</si>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</sst>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"/>
    <numFmt numFmtId="165" formatCode="00"/>
    <numFmt numFmtId="166" formatCode="0.000"/>
    <numFmt numFmtId="167" formatCode="#,##0.0000"/>
    <numFmt numFmtId="168" formatCode="#,##0.000"/>
  </numFmts>
  <fonts count="86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7.5"/>
      <color indexed="12"/>
      <name val="Arial"/>
      <family val="2"/>
    </font>
    <font>
      <sz val="10"/>
      <color rgb="FFFF0000"/>
      <name val="Arial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12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3" tint="0.39997558519241921"/>
      <name val="Calibri"/>
      <family val="2"/>
      <scheme val="minor"/>
    </font>
    <font>
      <sz val="10"/>
      <color theme="9" tint="-0.249977111117893"/>
      <name val="Arial"/>
      <family val="2"/>
    </font>
    <font>
      <b/>
      <sz val="11"/>
      <name val="Arial"/>
      <family val="2"/>
    </font>
    <font>
      <sz val="11"/>
      <color rgb="FF00B050"/>
      <name val="Calibri"/>
      <family val="2"/>
      <scheme val="minor"/>
    </font>
    <font>
      <sz val="10"/>
      <color theme="0" tint="-0.499984740745262"/>
      <name val="Arial"/>
      <family val="2"/>
    </font>
    <font>
      <sz val="11"/>
      <color theme="0" tint="-0.499984740745262"/>
      <name val="Calibri"/>
      <family val="2"/>
      <scheme val="minor"/>
    </font>
    <font>
      <b/>
      <sz val="10"/>
      <color theme="0" tint="-0.499984740745262"/>
      <name val="Arial"/>
      <family val="2"/>
    </font>
    <font>
      <b/>
      <sz val="11"/>
      <color theme="0" tint="-0.499984740745262"/>
      <name val="Calibri"/>
      <family val="2"/>
      <scheme val="minor"/>
    </font>
    <font>
      <b/>
      <sz val="10"/>
      <color theme="3" tint="0.39997558519241921"/>
      <name val="Arial"/>
      <family val="2"/>
    </font>
    <font>
      <sz val="14"/>
      <color theme="0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0" tint="-0.34998626667073579"/>
      <name val="Arial"/>
      <family val="2"/>
    </font>
    <font>
      <b/>
      <sz val="11"/>
      <color theme="0" tint="-0.34998626667073579"/>
      <name val="Calibri"/>
      <family val="2"/>
      <scheme val="minor"/>
    </font>
    <font>
      <b/>
      <sz val="10"/>
      <color theme="0" tint="-0.34998626667073579"/>
      <name val="Arial"/>
      <family val="2"/>
    </font>
    <font>
      <sz val="11"/>
      <color theme="9"/>
      <name val="Calibri"/>
      <family val="2"/>
      <scheme val="minor"/>
    </font>
    <font>
      <sz val="10"/>
      <color theme="9"/>
      <name val="Arial"/>
      <family val="2"/>
    </font>
    <font>
      <b/>
      <sz val="11"/>
      <color theme="3" tint="0.3999755851924192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rgb="FF006600"/>
      <name val="Arial"/>
      <family val="2"/>
    </font>
    <font>
      <b/>
      <sz val="24"/>
      <name val="Arial"/>
      <family val="2"/>
    </font>
    <font>
      <b/>
      <sz val="10"/>
      <color theme="8" tint="-0.249977111117893"/>
      <name val="Arial"/>
      <family val="2"/>
    </font>
    <font>
      <b/>
      <sz val="10"/>
      <color rgb="FF0070C0"/>
      <name val="Arial"/>
      <family val="2"/>
    </font>
    <font>
      <b/>
      <sz val="10"/>
      <color rgb="FF008000"/>
      <name val="Arial"/>
      <family val="2"/>
    </font>
    <font>
      <b/>
      <sz val="10"/>
      <color theme="8" tint="-0.499984740745262"/>
      <name val="Arial"/>
      <family val="2"/>
    </font>
    <font>
      <sz val="10"/>
      <color theme="8" tint="-0.249977111117893"/>
      <name val="Arial"/>
      <family val="2"/>
    </font>
    <font>
      <sz val="11"/>
      <color theme="1"/>
      <name val="Arial"/>
      <family val="2"/>
    </font>
    <font>
      <sz val="11"/>
      <color theme="0" tint="-0.499984740745262"/>
      <name val="Arial"/>
      <family val="2"/>
    </font>
    <font>
      <sz val="11"/>
      <color theme="8" tint="-0.249977111117893"/>
      <name val="Arial"/>
      <family val="2"/>
    </font>
    <font>
      <sz val="11"/>
      <color rgb="FF006600"/>
      <name val="Arial"/>
      <family val="2"/>
    </font>
    <font>
      <sz val="11"/>
      <color rgb="FFFF0000"/>
      <name val="Arial"/>
      <family val="2"/>
    </font>
    <font>
      <sz val="11"/>
      <color theme="3" tint="0.39997558519241921"/>
      <name val="Arial"/>
      <family val="2"/>
    </font>
    <font>
      <b/>
      <sz val="11"/>
      <color theme="0" tint="-0.499984740745262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theme="8" tint="-0.249977111117893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0" tint="-0.34998626667073579"/>
      <name val="Arial"/>
      <family val="2"/>
    </font>
    <font>
      <sz val="11"/>
      <color theme="4"/>
      <name val="Arial"/>
      <family val="2"/>
    </font>
    <font>
      <b/>
      <sz val="11"/>
      <color theme="4"/>
      <name val="Arial"/>
      <family val="2"/>
    </font>
    <font>
      <b/>
      <sz val="11"/>
      <color rgb="FFFF0000"/>
      <name val="Arial"/>
      <family val="2"/>
    </font>
    <font>
      <b/>
      <sz val="11"/>
      <color theme="0" tint="-0.34998626667073579"/>
      <name val="Arial"/>
      <family val="2"/>
    </font>
    <font>
      <b/>
      <sz val="12"/>
      <color theme="1"/>
      <name val="Agfa Rotis Semisans"/>
    </font>
    <font>
      <b/>
      <sz val="14"/>
      <color indexed="81"/>
      <name val="Segoe UI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Calibri"/>
      <family val="2"/>
      <scheme val="minor"/>
    </font>
    <font>
      <sz val="16"/>
      <color indexed="10"/>
      <name val="Arial"/>
      <family val="2"/>
    </font>
    <font>
      <sz val="16"/>
      <name val="Calibri"/>
      <family val="2"/>
      <scheme val="minor"/>
    </font>
    <font>
      <u/>
      <sz val="16"/>
      <color indexed="12"/>
      <name val="Arial"/>
      <family val="2"/>
    </font>
    <font>
      <sz val="16"/>
      <color theme="1"/>
      <name val="Arial Unicode MS"/>
      <family val="2"/>
    </font>
    <font>
      <sz val="16"/>
      <color rgb="FFFF0000"/>
      <name val="Arial"/>
      <family val="2"/>
    </font>
    <font>
      <sz val="16"/>
      <color theme="1"/>
      <name val="Arial"/>
      <family val="2"/>
    </font>
    <font>
      <strike/>
      <sz val="16"/>
      <color rgb="FFFF0000"/>
      <name val="Arial"/>
      <family val="2"/>
    </font>
    <font>
      <strike/>
      <sz val="16"/>
      <name val="Arial"/>
      <family val="2"/>
    </font>
    <font>
      <strike/>
      <sz val="16"/>
      <color theme="9" tint="-0.249977111117893"/>
      <name val="Calibri"/>
      <family val="2"/>
      <scheme val="minor"/>
    </font>
    <font>
      <strike/>
      <sz val="16"/>
      <name val="Calibri"/>
      <family val="2"/>
      <scheme val="minor"/>
    </font>
    <font>
      <sz val="16"/>
      <color theme="3" tint="0.39997558519241921"/>
      <name val="Calibri"/>
      <family val="2"/>
      <scheme val="minor"/>
    </font>
    <font>
      <sz val="16"/>
      <color indexed="8"/>
      <name val="Arial"/>
      <family val="2"/>
    </font>
    <font>
      <vertAlign val="superscript"/>
      <sz val="16"/>
      <name val="Arial"/>
      <family val="2"/>
    </font>
    <font>
      <sz val="16"/>
      <color rgb="FF00B050"/>
      <name val="Arial"/>
      <family val="2"/>
    </font>
    <font>
      <sz val="16"/>
      <color rgb="FF0070C0"/>
      <name val="Arial"/>
      <family val="2"/>
    </font>
    <font>
      <b/>
      <strike/>
      <sz val="16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5FF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8" tint="-0.249977111117893"/>
      </right>
      <top style="thin">
        <color theme="8" tint="-0.249977111117893"/>
      </top>
      <bottom style="thin">
        <color indexed="64"/>
      </bottom>
      <diagonal/>
    </border>
    <border>
      <left/>
      <right style="thin">
        <color theme="8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/>
      <right style="thin">
        <color indexed="64"/>
      </right>
      <top style="thin">
        <color theme="8" tint="-0.249977111117893"/>
      </top>
      <bottom style="thin">
        <color indexed="64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 style="thin">
        <color indexed="64"/>
      </right>
      <top style="medium">
        <color theme="8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8" tint="-0.249977111117893"/>
      </top>
      <bottom style="thin">
        <color indexed="64"/>
      </bottom>
      <diagonal/>
    </border>
    <border>
      <left style="thin">
        <color indexed="64"/>
      </left>
      <right style="medium">
        <color theme="8" tint="-0.249977111117893"/>
      </right>
      <top style="medium">
        <color theme="8" tint="-0.249977111117893"/>
      </top>
      <bottom style="thin">
        <color indexed="64"/>
      </bottom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4" fontId="10" fillId="0" borderId="0" applyFont="0" applyFill="0" applyBorder="0" applyAlignment="0" applyProtection="0"/>
  </cellStyleXfs>
  <cellXfs count="860">
    <xf numFmtId="0" fontId="0" fillId="0" borderId="0" xfId="0"/>
    <xf numFmtId="4" fontId="1" fillId="0" borderId="1" xfId="0" applyNumberFormat="1" applyFont="1" applyBorder="1" applyAlignment="1">
      <alignment horizontal="center" vertical="center" wrapText="1"/>
    </xf>
    <xf numFmtId="0" fontId="0" fillId="0" borderId="8" xfId="0" applyBorder="1"/>
    <xf numFmtId="3" fontId="1" fillId="0" borderId="9" xfId="0" applyNumberFormat="1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right" vertical="center" wrapText="1"/>
    </xf>
    <xf numFmtId="0" fontId="0" fillId="8" borderId="0" xfId="0" applyFill="1"/>
    <xf numFmtId="0" fontId="1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right" vertical="center" wrapText="1"/>
    </xf>
    <xf numFmtId="4" fontId="1" fillId="0" borderId="0" xfId="0" applyNumberFormat="1" applyFont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2" fillId="0" borderId="0" xfId="0" applyFont="1"/>
    <xf numFmtId="4" fontId="12" fillId="7" borderId="1" xfId="0" applyNumberFormat="1" applyFont="1" applyFill="1" applyBorder="1" applyAlignment="1">
      <alignment horizontal="right" vertical="center" wrapText="1"/>
    </xf>
    <xf numFmtId="4" fontId="1" fillId="7" borderId="0" xfId="0" applyNumberFormat="1" applyFont="1" applyFill="1" applyAlignment="1">
      <alignment horizontal="right" vertical="center" wrapText="1"/>
    </xf>
    <xf numFmtId="4" fontId="1" fillId="7" borderId="0" xfId="0" applyNumberFormat="1" applyFont="1" applyFill="1" applyAlignment="1">
      <alignment horizontal="center" vertical="center" wrapText="1"/>
    </xf>
    <xf numFmtId="4" fontId="12" fillId="7" borderId="10" xfId="0" applyNumberFormat="1" applyFont="1" applyFill="1" applyBorder="1" applyAlignment="1">
      <alignment horizontal="right" vertical="center" wrapText="1"/>
    </xf>
    <xf numFmtId="4" fontId="12" fillId="7" borderId="10" xfId="0" applyNumberFormat="1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44" fontId="0" fillId="0" borderId="0" xfId="2" applyFont="1"/>
    <xf numFmtId="17" fontId="0" fillId="0" borderId="0" xfId="0" applyNumberFormat="1"/>
    <xf numFmtId="0" fontId="0" fillId="0" borderId="29" xfId="0" applyBorder="1"/>
    <xf numFmtId="0" fontId="0" fillId="0" borderId="30" xfId="0" applyBorder="1"/>
    <xf numFmtId="0" fontId="0" fillId="0" borderId="16" xfId="0" applyBorder="1"/>
    <xf numFmtId="4" fontId="15" fillId="7" borderId="1" xfId="0" applyNumberFormat="1" applyFont="1" applyFill="1" applyBorder="1" applyAlignment="1">
      <alignment horizontal="right" vertical="center" wrapText="1"/>
    </xf>
    <xf numFmtId="0" fontId="12" fillId="0" borderId="1" xfId="0" applyFont="1" applyBorder="1"/>
    <xf numFmtId="4" fontId="1" fillId="3" borderId="10" xfId="0" applyNumberFormat="1" applyFont="1" applyFill="1" applyBorder="1" applyAlignment="1">
      <alignment horizontal="right" vertical="center" wrapText="1"/>
    </xf>
    <xf numFmtId="4" fontId="1" fillId="16" borderId="10" xfId="0" applyNumberFormat="1" applyFont="1" applyFill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right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/>
    <xf numFmtId="0" fontId="24" fillId="0" borderId="0" xfId="0" applyFont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 wrapText="1"/>
    </xf>
    <xf numFmtId="4" fontId="24" fillId="0" borderId="0" xfId="0" applyNumberFormat="1" applyFont="1" applyAlignment="1">
      <alignment horizontal="right" vertical="center" wrapText="1"/>
    </xf>
    <xf numFmtId="4" fontId="24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4" fontId="24" fillId="0" borderId="0" xfId="0" applyNumberFormat="1" applyFont="1" applyAlignment="1">
      <alignment vertical="center" wrapText="1"/>
    </xf>
    <xf numFmtId="4" fontId="23" fillId="0" borderId="0" xfId="0" applyNumberFormat="1" applyFont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4" fontId="12" fillId="7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4" fontId="12" fillId="0" borderId="3" xfId="0" applyNumberFormat="1" applyFont="1" applyBorder="1" applyAlignment="1">
      <alignment horizontal="right" vertical="center" wrapText="1"/>
    </xf>
    <xf numFmtId="4" fontId="23" fillId="0" borderId="3" xfId="0" applyNumberFormat="1" applyFont="1" applyBorder="1" applyAlignment="1">
      <alignment horizontal="center" vertical="center" wrapText="1"/>
    </xf>
    <xf numFmtId="4" fontId="1" fillId="9" borderId="10" xfId="0" applyNumberFormat="1" applyFont="1" applyFill="1" applyBorder="1" applyAlignment="1">
      <alignment horizontal="right" vertical="center" wrapText="1"/>
    </xf>
    <xf numFmtId="4" fontId="1" fillId="9" borderId="18" xfId="0" applyNumberFormat="1" applyFont="1" applyFill="1" applyBorder="1" applyAlignment="1">
      <alignment vertical="center" wrapText="1"/>
    </xf>
    <xf numFmtId="4" fontId="1" fillId="14" borderId="10" xfId="0" applyNumberFormat="1" applyFont="1" applyFill="1" applyBorder="1" applyAlignment="1">
      <alignment horizontal="right" vertical="center" wrapText="1"/>
    </xf>
    <xf numFmtId="44" fontId="12" fillId="17" borderId="0" xfId="2" applyFont="1" applyFill="1"/>
    <xf numFmtId="44" fontId="15" fillId="0" borderId="0" xfId="2" applyFont="1" applyAlignment="1">
      <alignment vertical="center" wrapText="1"/>
    </xf>
    <xf numFmtId="44" fontId="12" fillId="0" borderId="0" xfId="2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4" fontId="12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/>
    <xf numFmtId="0" fontId="12" fillId="0" borderId="1" xfId="0" applyFont="1" applyBorder="1" applyAlignment="1">
      <alignment wrapText="1"/>
    </xf>
    <xf numFmtId="0" fontId="0" fillId="0" borderId="0" xfId="0" applyAlignment="1">
      <alignment wrapText="1"/>
    </xf>
    <xf numFmtId="4" fontId="1" fillId="7" borderId="10" xfId="0" applyNumberFormat="1" applyFont="1" applyFill="1" applyBorder="1" applyAlignment="1">
      <alignment horizontal="right" vertical="center" wrapText="1"/>
    </xf>
    <xf numFmtId="4" fontId="1" fillId="14" borderId="24" xfId="0" applyNumberFormat="1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3" fillId="0" borderId="36" xfId="0" applyFont="1" applyBorder="1" applyAlignment="1">
      <alignment vertical="center" wrapText="1"/>
    </xf>
    <xf numFmtId="0" fontId="12" fillId="0" borderId="36" xfId="0" applyFont="1" applyBorder="1" applyAlignment="1">
      <alignment horizontal="center" vertical="center" wrapText="1"/>
    </xf>
    <xf numFmtId="3" fontId="12" fillId="8" borderId="3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2" fillId="0" borderId="6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9" borderId="0" xfId="0" applyFont="1" applyFill="1"/>
    <xf numFmtId="3" fontId="12" fillId="0" borderId="10" xfId="0" applyNumberFormat="1" applyFont="1" applyBorder="1" applyAlignment="1">
      <alignment horizontal="center" vertical="center" wrapText="1"/>
    </xf>
    <xf numFmtId="4" fontId="12" fillId="0" borderId="10" xfId="0" applyNumberFormat="1" applyFont="1" applyBorder="1" applyAlignment="1">
      <alignment horizontal="right" vertical="center" wrapText="1"/>
    </xf>
    <xf numFmtId="44" fontId="12" fillId="3" borderId="10" xfId="2" applyFont="1" applyFill="1" applyBorder="1" applyAlignment="1">
      <alignment horizontal="right" vertical="center" wrapText="1"/>
    </xf>
    <xf numFmtId="4" fontId="12" fillId="0" borderId="10" xfId="0" applyNumberFormat="1" applyFont="1" applyBorder="1" applyAlignment="1">
      <alignment horizontal="center" vertical="center" wrapText="1"/>
    </xf>
    <xf numFmtId="4" fontId="12" fillId="16" borderId="1" xfId="0" applyNumberFormat="1" applyFont="1" applyFill="1" applyBorder="1" applyAlignment="1">
      <alignment horizontal="right" vertical="center" wrapText="1"/>
    </xf>
    <xf numFmtId="4" fontId="1" fillId="15" borderId="10" xfId="0" applyNumberFormat="1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vertical="center" wrapText="1"/>
    </xf>
    <xf numFmtId="4" fontId="12" fillId="0" borderId="36" xfId="0" applyNumberFormat="1" applyFont="1" applyBorder="1" applyAlignment="1">
      <alignment vertical="center" wrapText="1"/>
    </xf>
    <xf numFmtId="4" fontId="12" fillId="3" borderId="1" xfId="0" applyNumberFormat="1" applyFont="1" applyFill="1" applyBorder="1" applyAlignment="1">
      <alignment horizontal="right" vertical="center" wrapText="1"/>
    </xf>
    <xf numFmtId="4" fontId="1" fillId="0" borderId="16" xfId="0" applyNumberFormat="1" applyFont="1" applyBorder="1" applyAlignment="1">
      <alignment horizontal="center" vertical="center" wrapText="1"/>
    </xf>
    <xf numFmtId="3" fontId="2" fillId="0" borderId="18" xfId="0" applyNumberFormat="1" applyFont="1" applyBorder="1" applyAlignment="1">
      <alignment horizontal="center" vertical="center" wrapText="1"/>
    </xf>
    <xf numFmtId="3" fontId="1" fillId="0" borderId="18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8" borderId="1" xfId="0" applyFont="1" applyFill="1" applyBorder="1"/>
    <xf numFmtId="0" fontId="12" fillId="0" borderId="2" xfId="0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3" fontId="1" fillId="18" borderId="9" xfId="0" applyNumberFormat="1" applyFont="1" applyFill="1" applyBorder="1" applyAlignment="1">
      <alignment horizontal="center" vertical="center" wrapText="1"/>
    </xf>
    <xf numFmtId="0" fontId="1" fillId="18" borderId="10" xfId="0" applyFont="1" applyFill="1" applyBorder="1" applyAlignment="1">
      <alignment horizontal="center" vertical="center" wrapText="1"/>
    </xf>
    <xf numFmtId="0" fontId="12" fillId="18" borderId="3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3" fillId="0" borderId="35" xfId="0" applyFont="1" applyBorder="1" applyAlignment="1">
      <alignment horizontal="center" vertical="center" wrapText="1"/>
    </xf>
    <xf numFmtId="4" fontId="23" fillId="0" borderId="3" xfId="0" applyNumberFormat="1" applyFont="1" applyBorder="1" applyAlignment="1">
      <alignment horizontal="right" vertical="center" wrapText="1"/>
    </xf>
    <xf numFmtId="4" fontId="15" fillId="19" borderId="1" xfId="0" applyNumberFormat="1" applyFont="1" applyFill="1" applyBorder="1" applyAlignment="1">
      <alignment horizontal="right" vertical="center" wrapText="1"/>
    </xf>
    <xf numFmtId="4" fontId="26" fillId="19" borderId="1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4" fontId="11" fillId="0" borderId="18" xfId="0" applyNumberFormat="1" applyFont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/>
    <xf numFmtId="0" fontId="12" fillId="0" borderId="33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4" fontId="2" fillId="0" borderId="39" xfId="0" applyNumberFormat="1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3" fontId="12" fillId="0" borderId="38" xfId="0" applyNumberFormat="1" applyFont="1" applyBorder="1" applyAlignment="1">
      <alignment horizontal="center" vertical="center" wrapText="1"/>
    </xf>
    <xf numFmtId="4" fontId="12" fillId="0" borderId="38" xfId="0" applyNumberFormat="1" applyFont="1" applyBorder="1" applyAlignment="1">
      <alignment horizontal="center" vertical="center" wrapText="1"/>
    </xf>
    <xf numFmtId="4" fontId="12" fillId="0" borderId="39" xfId="0" applyNumberFormat="1" applyFont="1" applyBorder="1" applyAlignment="1">
      <alignment horizontal="right" vertical="center" wrapText="1"/>
    </xf>
    <xf numFmtId="4" fontId="12" fillId="0" borderId="38" xfId="0" applyNumberFormat="1" applyFont="1" applyBorder="1" applyAlignment="1">
      <alignment horizontal="right" vertical="center" wrapText="1"/>
    </xf>
    <xf numFmtId="4" fontId="12" fillId="3" borderId="39" xfId="0" applyNumberFormat="1" applyFont="1" applyFill="1" applyBorder="1" applyAlignment="1">
      <alignment horizontal="right" vertical="center" wrapText="1"/>
    </xf>
    <xf numFmtId="4" fontId="23" fillId="0" borderId="38" xfId="0" applyNumberFormat="1" applyFont="1" applyBorder="1" applyAlignment="1">
      <alignment horizontal="right" vertical="center" wrapText="1"/>
    </xf>
    <xf numFmtId="4" fontId="12" fillId="7" borderId="39" xfId="0" applyNumberFormat="1" applyFont="1" applyFill="1" applyBorder="1" applyAlignment="1">
      <alignment horizontal="center" vertical="center" wrapText="1"/>
    </xf>
    <xf numFmtId="4" fontId="23" fillId="0" borderId="38" xfId="0" applyNumberFormat="1" applyFont="1" applyBorder="1" applyAlignment="1">
      <alignment horizontal="center" vertical="center" wrapText="1"/>
    </xf>
    <xf numFmtId="4" fontId="24" fillId="0" borderId="38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3" fontId="29" fillId="0" borderId="10" xfId="0" applyNumberFormat="1" applyFont="1" applyBorder="1" applyAlignment="1">
      <alignment horizontal="center" vertical="center" wrapText="1"/>
    </xf>
    <xf numFmtId="4" fontId="29" fillId="0" borderId="10" xfId="0" applyNumberFormat="1" applyFont="1" applyBorder="1" applyAlignment="1">
      <alignment horizontal="center" vertical="center" wrapText="1"/>
    </xf>
    <xf numFmtId="0" fontId="29" fillId="0" borderId="0" xfId="0" applyFont="1"/>
    <xf numFmtId="4" fontId="29" fillId="0" borderId="1" xfId="0" applyNumberFormat="1" applyFont="1" applyBorder="1" applyAlignment="1">
      <alignment horizontal="right" vertical="center" wrapText="1"/>
    </xf>
    <xf numFmtId="4" fontId="29" fillId="0" borderId="10" xfId="0" applyNumberFormat="1" applyFont="1" applyBorder="1" applyAlignment="1">
      <alignment horizontal="right" vertical="center" wrapText="1"/>
    </xf>
    <xf numFmtId="4" fontId="29" fillId="16" borderId="1" xfId="0" applyNumberFormat="1" applyFont="1" applyFill="1" applyBorder="1" applyAlignment="1">
      <alignment horizontal="right" vertical="center" wrapText="1"/>
    </xf>
    <xf numFmtId="4" fontId="29" fillId="3" borderId="10" xfId="0" applyNumberFormat="1" applyFont="1" applyFill="1" applyBorder="1" applyAlignment="1">
      <alignment horizontal="right" vertical="center" wrapText="1"/>
    </xf>
    <xf numFmtId="4" fontId="31" fillId="0" borderId="10" xfId="0" applyNumberFormat="1" applyFont="1" applyBorder="1" applyAlignment="1">
      <alignment horizontal="center" vertical="center" wrapText="1"/>
    </xf>
    <xf numFmtId="4" fontId="32" fillId="0" borderId="10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2" fontId="12" fillId="0" borderId="2" xfId="0" applyNumberFormat="1" applyFont="1" applyBorder="1" applyAlignment="1">
      <alignment vertical="center" wrapText="1"/>
    </xf>
    <xf numFmtId="0" fontId="4" fillId="7" borderId="36" xfId="0" applyFont="1" applyFill="1" applyBorder="1" applyAlignment="1">
      <alignment horizontal="center" vertical="center" wrapText="1"/>
    </xf>
    <xf numFmtId="14" fontId="2" fillId="7" borderId="3" xfId="0" applyNumberFormat="1" applyFont="1" applyFill="1" applyBorder="1" applyAlignment="1">
      <alignment horizontal="center" vertical="center" wrapText="1"/>
    </xf>
    <xf numFmtId="44" fontId="12" fillId="0" borderId="0" xfId="0" applyNumberFormat="1" applyFont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4" fontId="20" fillId="0" borderId="18" xfId="0" applyNumberFormat="1" applyFont="1" applyBorder="1" applyAlignment="1">
      <alignment horizontal="center" vertical="center" wrapText="1"/>
    </xf>
    <xf numFmtId="44" fontId="23" fillId="0" borderId="0" xfId="2" applyFont="1" applyAlignment="1">
      <alignment vertical="center" wrapText="1"/>
    </xf>
    <xf numFmtId="44" fontId="23" fillId="0" borderId="0" xfId="2" applyFont="1"/>
    <xf numFmtId="44" fontId="23" fillId="0" borderId="0" xfId="2" applyFont="1" applyBorder="1" applyAlignment="1">
      <alignment vertical="center" wrapText="1"/>
    </xf>
    <xf numFmtId="44" fontId="12" fillId="0" borderId="0" xfId="2" applyFont="1"/>
    <xf numFmtId="0" fontId="0" fillId="0" borderId="14" xfId="0" applyBorder="1"/>
    <xf numFmtId="0" fontId="0" fillId="0" borderId="15" xfId="0" applyBorder="1"/>
    <xf numFmtId="0" fontId="0" fillId="10" borderId="29" xfId="0" applyFill="1" applyBorder="1"/>
    <xf numFmtId="0" fontId="14" fillId="21" borderId="29" xfId="0" applyFont="1" applyFill="1" applyBorder="1"/>
    <xf numFmtId="0" fontId="0" fillId="0" borderId="4" xfId="0" applyBorder="1"/>
    <xf numFmtId="0" fontId="0" fillId="10" borderId="15" xfId="0" applyFill="1" applyBorder="1"/>
    <xf numFmtId="0" fontId="14" fillId="21" borderId="15" xfId="0" applyFont="1" applyFill="1" applyBorder="1"/>
    <xf numFmtId="0" fontId="1" fillId="3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4" fontId="1" fillId="0" borderId="13" xfId="0" applyNumberFormat="1" applyFont="1" applyBorder="1" applyAlignment="1">
      <alignment horizontal="center" vertical="center" wrapText="1"/>
    </xf>
    <xf numFmtId="0" fontId="1" fillId="18" borderId="13" xfId="0" applyFont="1" applyFill="1" applyBorder="1" applyAlignment="1">
      <alignment horizontal="center" vertical="center" wrapText="1"/>
    </xf>
    <xf numFmtId="3" fontId="1" fillId="0" borderId="13" xfId="0" applyNumberFormat="1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  <xf numFmtId="4" fontId="1" fillId="0" borderId="29" xfId="0" applyNumberFormat="1" applyFont="1" applyBorder="1" applyAlignment="1">
      <alignment horizontal="center" vertical="center" wrapText="1"/>
    </xf>
    <xf numFmtId="4" fontId="1" fillId="9" borderId="13" xfId="0" applyNumberFormat="1" applyFont="1" applyFill="1" applyBorder="1" applyAlignment="1">
      <alignment horizontal="right" vertical="center" wrapText="1"/>
    </xf>
    <xf numFmtId="4" fontId="1" fillId="0" borderId="13" xfId="0" applyNumberFormat="1" applyFont="1" applyBorder="1" applyAlignment="1">
      <alignment horizontal="right" vertical="center" wrapText="1"/>
    </xf>
    <xf numFmtId="4" fontId="1" fillId="14" borderId="13" xfId="0" applyNumberFormat="1" applyFont="1" applyFill="1" applyBorder="1" applyAlignment="1">
      <alignment horizontal="right" vertical="center" wrapText="1"/>
    </xf>
    <xf numFmtId="44" fontId="1" fillId="7" borderId="13" xfId="2" applyFont="1" applyFill="1" applyBorder="1" applyAlignment="1">
      <alignment horizontal="right" vertical="center" wrapText="1"/>
    </xf>
    <xf numFmtId="44" fontId="12" fillId="3" borderId="13" xfId="2" applyFont="1" applyFill="1" applyBorder="1" applyAlignment="1">
      <alignment horizontal="right" vertical="center" wrapText="1"/>
    </xf>
    <xf numFmtId="4" fontId="1" fillId="0" borderId="13" xfId="0" applyNumberFormat="1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10" borderId="21" xfId="0" applyFont="1" applyFill="1" applyBorder="1" applyAlignment="1">
      <alignment horizontal="center" vertical="center" wrapText="1"/>
    </xf>
    <xf numFmtId="0" fontId="12" fillId="9" borderId="21" xfId="0" applyFont="1" applyFill="1" applyBorder="1" applyAlignment="1">
      <alignment vertical="center" wrapText="1"/>
    </xf>
    <xf numFmtId="0" fontId="12" fillId="16" borderId="21" xfId="0" applyFont="1" applyFill="1" applyBorder="1" applyAlignment="1">
      <alignment vertical="center" wrapText="1"/>
    </xf>
    <xf numFmtId="44" fontId="12" fillId="0" borderId="21" xfId="2" applyFont="1" applyBorder="1" applyAlignment="1">
      <alignment vertical="center" wrapText="1"/>
    </xf>
    <xf numFmtId="44" fontId="12" fillId="0" borderId="22" xfId="2" applyFont="1" applyBorder="1" applyAlignment="1">
      <alignment vertical="center" wrapText="1"/>
    </xf>
    <xf numFmtId="44" fontId="12" fillId="0" borderId="26" xfId="0" applyNumberFormat="1" applyFont="1" applyBorder="1" applyAlignment="1">
      <alignment vertical="center" wrapText="1"/>
    </xf>
    <xf numFmtId="4" fontId="1" fillId="0" borderId="23" xfId="0" applyNumberFormat="1" applyFont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4" fontId="1" fillId="16" borderId="13" xfId="0" applyNumberFormat="1" applyFont="1" applyFill="1" applyBorder="1" applyAlignment="1">
      <alignment horizontal="right" vertical="center" wrapText="1"/>
    </xf>
    <xf numFmtId="4" fontId="1" fillId="3" borderId="13" xfId="0" applyNumberFormat="1" applyFont="1" applyFill="1" applyBorder="1" applyAlignment="1">
      <alignment horizontal="right" vertical="center" wrapText="1"/>
    </xf>
    <xf numFmtId="0" fontId="34" fillId="0" borderId="26" xfId="0" applyFont="1" applyBorder="1" applyAlignment="1">
      <alignment horizontal="center" vertical="center" wrapText="1"/>
    </xf>
    <xf numFmtId="14" fontId="1" fillId="0" borderId="26" xfId="0" applyNumberFormat="1" applyFont="1" applyBorder="1" applyAlignment="1">
      <alignment horizontal="center" vertical="center" wrapText="1"/>
    </xf>
    <xf numFmtId="3" fontId="12" fillId="13" borderId="21" xfId="0" applyNumberFormat="1" applyFont="1" applyFill="1" applyBorder="1" applyAlignment="1">
      <alignment horizontal="center" vertical="center" wrapText="1"/>
    </xf>
    <xf numFmtId="3" fontId="12" fillId="0" borderId="21" xfId="0" applyNumberFormat="1" applyFont="1" applyBorder="1" applyAlignment="1">
      <alignment horizontal="center" vertical="center" wrapText="1"/>
    </xf>
    <xf numFmtId="4" fontId="1" fillId="10" borderId="26" xfId="0" applyNumberFormat="1" applyFont="1" applyFill="1" applyBorder="1" applyAlignment="1">
      <alignment horizontal="center" vertical="center" wrapText="1"/>
    </xf>
    <xf numFmtId="4" fontId="1" fillId="0" borderId="26" xfId="0" applyNumberFormat="1" applyFont="1" applyBorder="1" applyAlignment="1">
      <alignment horizontal="right" vertical="center" wrapText="1"/>
    </xf>
    <xf numFmtId="44" fontId="1" fillId="0" borderId="26" xfId="2" applyFont="1" applyBorder="1" applyAlignment="1">
      <alignment horizontal="right" vertical="center" wrapText="1"/>
    </xf>
    <xf numFmtId="4" fontId="1" fillId="0" borderId="26" xfId="0" applyNumberFormat="1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4" fontId="1" fillId="15" borderId="13" xfId="0" applyNumberFormat="1" applyFont="1" applyFill="1" applyBorder="1" applyAlignment="1">
      <alignment horizontal="right" vertical="center" wrapText="1"/>
    </xf>
    <xf numFmtId="14" fontId="12" fillId="0" borderId="26" xfId="0" applyNumberFormat="1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 wrapText="1"/>
    </xf>
    <xf numFmtId="44" fontId="12" fillId="0" borderId="26" xfId="2" applyFont="1" applyBorder="1" applyAlignment="1">
      <alignment vertical="center" wrapText="1"/>
    </xf>
    <xf numFmtId="44" fontId="35" fillId="0" borderId="18" xfId="2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3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4" fontId="1" fillId="0" borderId="43" xfId="0" applyNumberFormat="1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4" fontId="40" fillId="0" borderId="0" xfId="0" applyNumberFormat="1" applyFont="1" applyAlignment="1">
      <alignment horizontal="center" vertical="center" wrapText="1"/>
    </xf>
    <xf numFmtId="4" fontId="40" fillId="0" borderId="0" xfId="0" applyNumberFormat="1" applyFont="1" applyAlignment="1">
      <alignment horizontal="right" vertical="center" wrapText="1"/>
    </xf>
    <xf numFmtId="44" fontId="1" fillId="0" borderId="0" xfId="2" applyFont="1" applyBorder="1" applyAlignment="1">
      <alignment horizontal="center" vertical="center" wrapText="1"/>
    </xf>
    <xf numFmtId="44" fontId="1" fillId="0" borderId="18" xfId="2" applyFont="1" applyBorder="1" applyAlignment="1">
      <alignment horizontal="center" vertical="center" wrapText="1"/>
    </xf>
    <xf numFmtId="44" fontId="1" fillId="0" borderId="1" xfId="2" applyFont="1" applyBorder="1" applyAlignment="1">
      <alignment horizontal="center" vertical="center" wrapText="1"/>
    </xf>
    <xf numFmtId="44" fontId="1" fillId="0" borderId="10" xfId="2" applyFont="1" applyBorder="1" applyAlignment="1">
      <alignment horizontal="center" vertical="center" wrapText="1"/>
    </xf>
    <xf numFmtId="44" fontId="2" fillId="0" borderId="18" xfId="2" applyFont="1" applyBorder="1" applyAlignment="1">
      <alignment horizontal="center" vertical="center" wrapText="1"/>
    </xf>
    <xf numFmtId="44" fontId="1" fillId="0" borderId="0" xfId="2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3" fontId="42" fillId="0" borderId="0" xfId="0" applyNumberFormat="1" applyFont="1" applyAlignment="1">
      <alignment horizontal="center" vertical="center" wrapText="1"/>
    </xf>
    <xf numFmtId="44" fontId="24" fillId="0" borderId="0" xfId="2" applyFont="1" applyBorder="1" applyAlignment="1">
      <alignment horizontal="center" vertical="center" wrapText="1"/>
    </xf>
    <xf numFmtId="44" fontId="42" fillId="0" borderId="0" xfId="2" applyFont="1" applyBorder="1" applyAlignment="1">
      <alignment horizontal="center" vertical="center" wrapText="1"/>
    </xf>
    <xf numFmtId="44" fontId="2" fillId="0" borderId="0" xfId="2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44" fontId="1" fillId="3" borderId="0" xfId="2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" fontId="42" fillId="0" borderId="0" xfId="0" applyNumberFormat="1" applyFont="1" applyAlignment="1">
      <alignment horizontal="center" vertical="center" wrapText="1"/>
    </xf>
    <xf numFmtId="14" fontId="42" fillId="0" borderId="26" xfId="0" applyNumberFormat="1" applyFont="1" applyBorder="1" applyAlignment="1">
      <alignment horizontal="center" vertical="center" wrapText="1"/>
    </xf>
    <xf numFmtId="0" fontId="42" fillId="0" borderId="26" xfId="0" applyFont="1" applyBorder="1" applyAlignment="1">
      <alignment horizontal="center" vertical="center" wrapText="1"/>
    </xf>
    <xf numFmtId="4" fontId="42" fillId="10" borderId="26" xfId="0" applyNumberFormat="1" applyFont="1" applyFill="1" applyBorder="1" applyAlignment="1">
      <alignment horizontal="center" vertical="center" wrapText="1"/>
    </xf>
    <xf numFmtId="4" fontId="42" fillId="0" borderId="26" xfId="0" applyNumberFormat="1" applyFont="1" applyBorder="1" applyAlignment="1">
      <alignment horizontal="right" vertical="center" wrapText="1"/>
    </xf>
    <xf numFmtId="44" fontId="42" fillId="0" borderId="26" xfId="2" applyFont="1" applyBorder="1" applyAlignment="1">
      <alignment horizontal="right" vertical="center" wrapText="1"/>
    </xf>
    <xf numFmtId="49" fontId="24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67" fontId="24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7" fontId="2" fillId="3" borderId="0" xfId="0" applyNumberFormat="1" applyFont="1" applyFill="1" applyAlignment="1">
      <alignment horizontal="center" vertical="center" wrapText="1"/>
    </xf>
    <xf numFmtId="44" fontId="2" fillId="3" borderId="0" xfId="2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167" fontId="2" fillId="7" borderId="0" xfId="0" applyNumberFormat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44" fontId="2" fillId="3" borderId="10" xfId="2" applyFont="1" applyFill="1" applyBorder="1" applyAlignment="1">
      <alignment horizontal="center" vertical="center" wrapText="1"/>
    </xf>
    <xf numFmtId="44" fontId="2" fillId="3" borderId="13" xfId="2" applyFont="1" applyFill="1" applyBorder="1" applyAlignment="1">
      <alignment horizontal="center" vertical="center" wrapText="1"/>
    </xf>
    <xf numFmtId="44" fontId="2" fillId="3" borderId="3" xfId="2" applyFont="1" applyFill="1" applyBorder="1" applyAlignment="1">
      <alignment horizontal="center" vertical="center" wrapText="1"/>
    </xf>
    <xf numFmtId="167" fontId="22" fillId="0" borderId="10" xfId="0" applyNumberFormat="1" applyFont="1" applyBorder="1" applyAlignment="1">
      <alignment horizontal="center" vertical="center" wrapText="1"/>
    </xf>
    <xf numFmtId="167" fontId="22" fillId="0" borderId="13" xfId="0" applyNumberFormat="1" applyFont="1" applyBorder="1" applyAlignment="1">
      <alignment horizontal="center" vertical="center" wrapText="1"/>
    </xf>
    <xf numFmtId="167" fontId="22" fillId="0" borderId="3" xfId="0" applyNumberFormat="1" applyFont="1" applyBorder="1" applyAlignment="1">
      <alignment horizontal="center" vertical="center" wrapText="1"/>
    </xf>
    <xf numFmtId="44" fontId="24" fillId="0" borderId="10" xfId="2" applyFont="1" applyBorder="1" applyAlignment="1">
      <alignment horizontal="center" vertical="center" wrapText="1"/>
    </xf>
    <xf numFmtId="44" fontId="24" fillId="0" borderId="13" xfId="2" applyFont="1" applyBorder="1" applyAlignment="1">
      <alignment horizontal="center" vertical="center" wrapText="1"/>
    </xf>
    <xf numFmtId="44" fontId="24" fillId="0" borderId="3" xfId="2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167" fontId="1" fillId="0" borderId="13" xfId="0" applyNumberFormat="1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3" fontId="44" fillId="0" borderId="0" xfId="0" applyNumberFormat="1" applyFont="1" applyAlignment="1">
      <alignment horizontal="center" vertical="center" wrapText="1"/>
    </xf>
    <xf numFmtId="44" fontId="2" fillId="0" borderId="13" xfId="2" applyFont="1" applyBorder="1" applyAlignment="1">
      <alignment horizontal="center" vertical="center" wrapText="1"/>
    </xf>
    <xf numFmtId="44" fontId="2" fillId="0" borderId="3" xfId="2" applyFont="1" applyBorder="1" applyAlignment="1">
      <alignment horizontal="center" vertical="center" wrapText="1"/>
    </xf>
    <xf numFmtId="44" fontId="1" fillId="3" borderId="1" xfId="2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44" fontId="42" fillId="0" borderId="46" xfId="2" applyFont="1" applyBorder="1" applyAlignment="1">
      <alignment horizontal="right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44" fontId="24" fillId="0" borderId="48" xfId="2" applyFont="1" applyBorder="1" applyAlignment="1">
      <alignment horizontal="center" vertical="center" wrapText="1"/>
    </xf>
    <xf numFmtId="44" fontId="1" fillId="0" borderId="48" xfId="2" applyFont="1" applyBorder="1" applyAlignment="1">
      <alignment horizontal="center" vertical="center" wrapText="1"/>
    </xf>
    <xf numFmtId="44" fontId="42" fillId="0" borderId="48" xfId="2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14" fontId="1" fillId="0" borderId="50" xfId="0" applyNumberFormat="1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3" fontId="2" fillId="0" borderId="50" xfId="0" applyNumberFormat="1" applyFont="1" applyBorder="1" applyAlignment="1">
      <alignment horizontal="center" vertical="center" wrapText="1"/>
    </xf>
    <xf numFmtId="44" fontId="2" fillId="3" borderId="50" xfId="2" applyFont="1" applyFill="1" applyBorder="1" applyAlignment="1">
      <alignment horizontal="center" vertical="center" wrapText="1"/>
    </xf>
    <xf numFmtId="167" fontId="1" fillId="0" borderId="51" xfId="0" applyNumberFormat="1" applyFont="1" applyBorder="1" applyAlignment="1">
      <alignment horizontal="center" vertical="center" wrapText="1"/>
    </xf>
    <xf numFmtId="167" fontId="24" fillId="0" borderId="50" xfId="0" applyNumberFormat="1" applyFont="1" applyBorder="1" applyAlignment="1">
      <alignment horizontal="center" vertical="center" wrapText="1"/>
    </xf>
    <xf numFmtId="49" fontId="2" fillId="3" borderId="50" xfId="0" applyNumberFormat="1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3" fontId="24" fillId="0" borderId="50" xfId="0" applyNumberFormat="1" applyFont="1" applyBorder="1" applyAlignment="1">
      <alignment horizontal="center" vertical="center" wrapText="1"/>
    </xf>
    <xf numFmtId="167" fontId="2" fillId="3" borderId="50" xfId="0" applyNumberFormat="1" applyFont="1" applyFill="1" applyBorder="1" applyAlignment="1">
      <alignment horizontal="center" vertical="center" wrapText="1"/>
    </xf>
    <xf numFmtId="44" fontId="2" fillId="0" borderId="50" xfId="2" applyFont="1" applyBorder="1" applyAlignment="1">
      <alignment horizontal="center" vertical="center" wrapText="1"/>
    </xf>
    <xf numFmtId="44" fontId="2" fillId="0" borderId="51" xfId="2" applyFont="1" applyBorder="1" applyAlignment="1">
      <alignment horizontal="center" vertical="center" wrapText="1"/>
    </xf>
    <xf numFmtId="44" fontId="2" fillId="11" borderId="52" xfId="2" applyFont="1" applyFill="1" applyBorder="1" applyAlignment="1">
      <alignment horizontal="center" vertical="center" wrapText="1"/>
    </xf>
    <xf numFmtId="44" fontId="42" fillId="11" borderId="26" xfId="2" applyFont="1" applyFill="1" applyBorder="1" applyAlignment="1">
      <alignment horizontal="right" vertical="center" wrapText="1"/>
    </xf>
    <xf numFmtId="0" fontId="4" fillId="0" borderId="54" xfId="0" applyFont="1" applyBorder="1" applyAlignment="1">
      <alignment horizontal="center" vertical="center" wrapText="1"/>
    </xf>
    <xf numFmtId="14" fontId="1" fillId="0" borderId="54" xfId="0" applyNumberFormat="1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3" fontId="2" fillId="0" borderId="54" xfId="0" applyNumberFormat="1" applyFont="1" applyBorder="1" applyAlignment="1">
      <alignment horizontal="center" vertical="center" wrapText="1"/>
    </xf>
    <xf numFmtId="44" fontId="2" fillId="3" borderId="54" xfId="2" applyFont="1" applyFill="1" applyBorder="1" applyAlignment="1">
      <alignment horizontal="center" vertical="center" wrapText="1"/>
    </xf>
    <xf numFmtId="167" fontId="1" fillId="0" borderId="55" xfId="0" applyNumberFormat="1" applyFont="1" applyBorder="1" applyAlignment="1">
      <alignment horizontal="center" vertical="center" wrapText="1"/>
    </xf>
    <xf numFmtId="167" fontId="24" fillId="0" borderId="54" xfId="0" applyNumberFormat="1" applyFont="1" applyBorder="1" applyAlignment="1">
      <alignment horizontal="center" vertical="center" wrapText="1"/>
    </xf>
    <xf numFmtId="49" fontId="2" fillId="3" borderId="54" xfId="0" applyNumberFormat="1" applyFont="1" applyFill="1" applyBorder="1" applyAlignment="1">
      <alignment horizontal="center" vertical="center" wrapText="1"/>
    </xf>
    <xf numFmtId="3" fontId="24" fillId="0" borderId="54" xfId="0" applyNumberFormat="1" applyFont="1" applyBorder="1" applyAlignment="1">
      <alignment horizontal="center" vertical="center" wrapText="1"/>
    </xf>
    <xf numFmtId="167" fontId="2" fillId="3" borderId="54" xfId="0" applyNumberFormat="1" applyFont="1" applyFill="1" applyBorder="1" applyAlignment="1">
      <alignment horizontal="center" vertical="center" wrapText="1"/>
    </xf>
    <xf numFmtId="44" fontId="2" fillId="0" borderId="54" xfId="2" applyFont="1" applyBorder="1" applyAlignment="1">
      <alignment horizontal="center" vertical="center" wrapText="1"/>
    </xf>
    <xf numFmtId="44" fontId="2" fillId="0" borderId="55" xfId="2" applyFont="1" applyBorder="1" applyAlignment="1">
      <alignment horizontal="center" vertical="center" wrapText="1"/>
    </xf>
    <xf numFmtId="44" fontId="2" fillId="0" borderId="56" xfId="2" applyFont="1" applyBorder="1" applyAlignment="1">
      <alignment horizontal="center" vertical="center" wrapText="1"/>
    </xf>
    <xf numFmtId="44" fontId="2" fillId="0" borderId="48" xfId="2" applyFont="1" applyBorder="1" applyAlignment="1">
      <alignment horizontal="center" vertical="center" wrapText="1"/>
    </xf>
    <xf numFmtId="0" fontId="43" fillId="0" borderId="50" xfId="0" applyFont="1" applyBorder="1" applyAlignment="1">
      <alignment horizontal="center" vertical="center" wrapText="1"/>
    </xf>
    <xf numFmtId="14" fontId="42" fillId="0" borderId="50" xfId="0" applyNumberFormat="1" applyFont="1" applyBorder="1" applyAlignment="1">
      <alignment horizontal="center" vertical="center" wrapText="1"/>
    </xf>
    <xf numFmtId="0" fontId="42" fillId="0" borderId="50" xfId="0" applyFont="1" applyBorder="1" applyAlignment="1">
      <alignment horizontal="center" vertical="center" wrapText="1"/>
    </xf>
    <xf numFmtId="3" fontId="42" fillId="0" borderId="50" xfId="0" applyNumberFormat="1" applyFont="1" applyBorder="1" applyAlignment="1">
      <alignment horizontal="center" vertical="center" wrapText="1"/>
    </xf>
    <xf numFmtId="44" fontId="42" fillId="0" borderId="50" xfId="2" applyFont="1" applyBorder="1" applyAlignment="1">
      <alignment horizontal="center" vertical="center" wrapText="1"/>
    </xf>
    <xf numFmtId="49" fontId="24" fillId="0" borderId="50" xfId="0" applyNumberFormat="1" applyFont="1" applyBorder="1" applyAlignment="1">
      <alignment horizontal="center" vertical="center" wrapText="1"/>
    </xf>
    <xf numFmtId="167" fontId="2" fillId="7" borderId="50" xfId="0" applyNumberFormat="1" applyFont="1" applyFill="1" applyBorder="1" applyAlignment="1">
      <alignment horizontal="center" vertical="center" wrapText="1"/>
    </xf>
    <xf numFmtId="44" fontId="45" fillId="11" borderId="52" xfId="2" applyFont="1" applyFill="1" applyBorder="1" applyAlignment="1">
      <alignment horizontal="center" vertical="center" wrapText="1"/>
    </xf>
    <xf numFmtId="0" fontId="1" fillId="5" borderId="58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4" fontId="1" fillId="0" borderId="59" xfId="0" applyNumberFormat="1" applyFont="1" applyBorder="1" applyAlignment="1">
      <alignment horizontal="center" vertical="center" wrapText="1"/>
    </xf>
    <xf numFmtId="4" fontId="42" fillId="0" borderId="60" xfId="0" applyNumberFormat="1" applyFont="1" applyBorder="1" applyAlignment="1">
      <alignment horizontal="center" vertical="center" wrapText="1"/>
    </xf>
    <xf numFmtId="44" fontId="42" fillId="0" borderId="60" xfId="2" applyFont="1" applyBorder="1" applyAlignment="1">
      <alignment horizontal="center" vertical="center" wrapText="1"/>
    </xf>
    <xf numFmtId="44" fontId="42" fillId="11" borderId="60" xfId="2" applyFont="1" applyFill="1" applyBorder="1" applyAlignment="1">
      <alignment horizontal="right" vertical="center" wrapText="1"/>
    </xf>
    <xf numFmtId="4" fontId="1" fillId="0" borderId="60" xfId="0" applyNumberFormat="1" applyFont="1" applyBorder="1" applyAlignment="1">
      <alignment horizontal="center" vertical="center" wrapText="1"/>
    </xf>
    <xf numFmtId="0" fontId="1" fillId="5" borderId="62" xfId="0" applyFont="1" applyFill="1" applyBorder="1" applyAlignment="1">
      <alignment horizontal="center" vertical="center" wrapText="1"/>
    </xf>
    <xf numFmtId="0" fontId="1" fillId="5" borderId="63" xfId="0" applyFont="1" applyFill="1" applyBorder="1" applyAlignment="1">
      <alignment horizontal="center" vertical="center" wrapText="1"/>
    </xf>
    <xf numFmtId="0" fontId="1" fillId="3" borderId="63" xfId="0" applyFont="1" applyFill="1" applyBorder="1" applyAlignment="1">
      <alignment horizontal="center" vertical="center" wrapText="1"/>
    </xf>
    <xf numFmtId="0" fontId="1" fillId="5" borderId="64" xfId="0" applyFont="1" applyFill="1" applyBorder="1" applyAlignment="1">
      <alignment horizontal="center" vertical="center" wrapText="1"/>
    </xf>
    <xf numFmtId="44" fontId="42" fillId="0" borderId="61" xfId="2" applyFont="1" applyBorder="1" applyAlignment="1">
      <alignment horizontal="center" vertical="center" wrapText="1"/>
    </xf>
    <xf numFmtId="4" fontId="1" fillId="0" borderId="65" xfId="0" applyNumberFormat="1" applyFont="1" applyBorder="1" applyAlignment="1">
      <alignment horizontal="center" vertical="center" wrapText="1"/>
    </xf>
    <xf numFmtId="4" fontId="1" fillId="0" borderId="66" xfId="0" applyNumberFormat="1" applyFont="1" applyBorder="1" applyAlignment="1">
      <alignment horizontal="center" vertical="center" wrapText="1"/>
    </xf>
    <xf numFmtId="44" fontId="1" fillId="0" borderId="66" xfId="2" applyFont="1" applyBorder="1" applyAlignment="1">
      <alignment horizontal="center" vertical="center" wrapText="1"/>
    </xf>
    <xf numFmtId="44" fontId="2" fillId="0" borderId="66" xfId="2" applyFont="1" applyBorder="1" applyAlignment="1">
      <alignment horizontal="center" vertical="center" wrapText="1"/>
    </xf>
    <xf numFmtId="44" fontId="42" fillId="0" borderId="66" xfId="2" applyFont="1" applyBorder="1" applyAlignment="1">
      <alignment horizontal="center" vertical="center" wrapText="1"/>
    </xf>
    <xf numFmtId="4" fontId="46" fillId="0" borderId="0" xfId="0" applyNumberFormat="1" applyFont="1" applyAlignment="1">
      <alignment horizontal="center" vertical="center" wrapText="1"/>
    </xf>
    <xf numFmtId="44" fontId="42" fillId="0" borderId="7" xfId="2" applyFont="1" applyBorder="1" applyAlignment="1">
      <alignment horizontal="center" vertical="center" wrapText="1"/>
    </xf>
    <xf numFmtId="0" fontId="42" fillId="7" borderId="50" xfId="0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/>
    <xf numFmtId="0" fontId="47" fillId="0" borderId="0" xfId="0" applyFont="1"/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center" vertical="center" wrapText="1"/>
    </xf>
    <xf numFmtId="44" fontId="48" fillId="0" borderId="0" xfId="2" applyFont="1" applyAlignment="1">
      <alignment vertical="center" wrapText="1"/>
    </xf>
    <xf numFmtId="0" fontId="48" fillId="0" borderId="0" xfId="0" applyFont="1"/>
    <xf numFmtId="44" fontId="49" fillId="0" borderId="60" xfId="0" applyNumberFormat="1" applyFont="1" applyBorder="1" applyAlignment="1">
      <alignment horizontal="center" vertical="center" wrapText="1"/>
    </xf>
    <xf numFmtId="0" fontId="49" fillId="0" borderId="60" xfId="0" applyFont="1" applyBorder="1" applyAlignment="1">
      <alignment horizontal="center" vertical="center" wrapText="1"/>
    </xf>
    <xf numFmtId="44" fontId="49" fillId="0" borderId="60" xfId="2" applyFont="1" applyBorder="1" applyAlignment="1">
      <alignment horizontal="center" vertical="center" wrapText="1"/>
    </xf>
    <xf numFmtId="44" fontId="37" fillId="0" borderId="60" xfId="0" applyNumberFormat="1" applyFont="1" applyBorder="1" applyAlignment="1">
      <alignment horizontal="center" vertical="center" wrapText="1"/>
    </xf>
    <xf numFmtId="44" fontId="37" fillId="0" borderId="61" xfId="0" applyNumberFormat="1" applyFont="1" applyBorder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0" fillId="0" borderId="0" xfId="0" applyFont="1"/>
    <xf numFmtId="44" fontId="37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44" fontId="37" fillId="0" borderId="0" xfId="2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44" fontId="37" fillId="0" borderId="1" xfId="2" applyFont="1" applyBorder="1" applyAlignment="1">
      <alignment horizontal="center" vertical="center" wrapText="1"/>
    </xf>
    <xf numFmtId="44" fontId="37" fillId="0" borderId="1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44" fontId="37" fillId="0" borderId="10" xfId="2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44" fontId="20" fillId="0" borderId="18" xfId="2" applyFont="1" applyBorder="1" applyAlignment="1">
      <alignment horizontal="center" vertical="center" wrapText="1"/>
    </xf>
    <xf numFmtId="44" fontId="37" fillId="3" borderId="0" xfId="0" applyNumberFormat="1" applyFont="1" applyFill="1" applyAlignment="1">
      <alignment horizontal="center" vertical="center" wrapText="1"/>
    </xf>
    <xf numFmtId="44" fontId="51" fillId="0" borderId="0" xfId="0" applyNumberFormat="1" applyFont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44" fontId="49" fillId="0" borderId="7" xfId="2" applyFont="1" applyBorder="1" applyAlignment="1">
      <alignment horizontal="center" vertical="center" wrapText="1"/>
    </xf>
    <xf numFmtId="44" fontId="49" fillId="0" borderId="0" xfId="0" applyNumberFormat="1" applyFont="1" applyAlignment="1">
      <alignment horizontal="center" vertical="center" wrapText="1"/>
    </xf>
    <xf numFmtId="44" fontId="37" fillId="0" borderId="43" xfId="0" applyNumberFormat="1" applyFont="1" applyBorder="1" applyAlignment="1">
      <alignment horizontal="center" vertical="center" wrapText="1"/>
    </xf>
    <xf numFmtId="44" fontId="20" fillId="0" borderId="43" xfId="0" applyNumberFormat="1" applyFont="1" applyBorder="1" applyAlignment="1">
      <alignment horizontal="center" vertical="center" wrapText="1"/>
    </xf>
    <xf numFmtId="0" fontId="37" fillId="0" borderId="43" xfId="0" applyFont="1" applyBorder="1"/>
    <xf numFmtId="0" fontId="47" fillId="0" borderId="43" xfId="0" applyFont="1" applyBorder="1"/>
    <xf numFmtId="44" fontId="50" fillId="0" borderId="0" xfId="0" applyNumberFormat="1" applyFont="1" applyAlignment="1">
      <alignment horizontal="center" vertical="center" wrapText="1"/>
    </xf>
    <xf numFmtId="3" fontId="48" fillId="0" borderId="0" xfId="0" applyNumberFormat="1" applyFont="1" applyAlignment="1">
      <alignment vertical="center" wrapText="1"/>
    </xf>
    <xf numFmtId="0" fontId="47" fillId="0" borderId="0" xfId="0" applyFont="1" applyAlignment="1">
      <alignment horizontal="center"/>
    </xf>
    <xf numFmtId="0" fontId="52" fillId="0" borderId="0" xfId="0" applyFont="1" applyAlignment="1">
      <alignment vertical="center" wrapText="1"/>
    </xf>
    <xf numFmtId="44" fontId="47" fillId="0" borderId="0" xfId="2" applyFont="1"/>
    <xf numFmtId="0" fontId="37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3" fontId="49" fillId="13" borderId="21" xfId="0" applyNumberFormat="1" applyFont="1" applyFill="1" applyBorder="1" applyAlignment="1">
      <alignment horizontal="center" vertical="center" wrapText="1"/>
    </xf>
    <xf numFmtId="3" fontId="49" fillId="0" borderId="21" xfId="0" applyNumberFormat="1" applyFont="1" applyBorder="1" applyAlignment="1">
      <alignment horizontal="center" vertical="center" wrapText="1"/>
    </xf>
    <xf numFmtId="3" fontId="49" fillId="0" borderId="26" xfId="0" applyNumberFormat="1" applyFont="1" applyBorder="1" applyAlignment="1">
      <alignment horizontal="center" vertical="center" wrapText="1"/>
    </xf>
    <xf numFmtId="44" fontId="37" fillId="0" borderId="26" xfId="0" applyNumberFormat="1" applyFont="1" applyBorder="1" applyAlignment="1">
      <alignment vertical="center" wrapText="1"/>
    </xf>
    <xf numFmtId="44" fontId="37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14" fontId="37" fillId="0" borderId="26" xfId="0" applyNumberFormat="1" applyFont="1" applyBorder="1" applyAlignment="1">
      <alignment vertical="center" wrapText="1"/>
    </xf>
    <xf numFmtId="0" fontId="37" fillId="0" borderId="21" xfId="0" applyFont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 wrapText="1"/>
    </xf>
    <xf numFmtId="0" fontId="37" fillId="0" borderId="26" xfId="0" applyFont="1" applyBorder="1" applyAlignment="1">
      <alignment vertical="center" wrapText="1"/>
    </xf>
    <xf numFmtId="44" fontId="37" fillId="0" borderId="26" xfId="2" applyFont="1" applyBorder="1" applyAlignment="1">
      <alignment vertical="center" wrapText="1"/>
    </xf>
    <xf numFmtId="0" fontId="37" fillId="0" borderId="23" xfId="0" applyFont="1" applyBorder="1" applyAlignment="1">
      <alignment horizontal="center" vertical="center" wrapText="1"/>
    </xf>
    <xf numFmtId="0" fontId="37" fillId="6" borderId="0" xfId="0" applyFont="1" applyFill="1" applyAlignment="1">
      <alignment horizontal="center" vertical="center" wrapText="1"/>
    </xf>
    <xf numFmtId="44" fontId="48" fillId="0" borderId="0" xfId="2" applyFont="1" applyBorder="1" applyAlignment="1">
      <alignment vertical="center" wrapText="1"/>
    </xf>
    <xf numFmtId="4" fontId="48" fillId="0" borderId="0" xfId="0" applyNumberFormat="1" applyFont="1" applyAlignment="1">
      <alignment vertical="center" wrapText="1"/>
    </xf>
    <xf numFmtId="44" fontId="20" fillId="0" borderId="0" xfId="2" applyFont="1" applyAlignment="1">
      <alignment vertical="center" wrapText="1"/>
    </xf>
    <xf numFmtId="44" fontId="37" fillId="0" borderId="0" xfId="2" applyFont="1" applyAlignment="1">
      <alignment vertical="center" wrapText="1"/>
    </xf>
    <xf numFmtId="0" fontId="37" fillId="0" borderId="14" xfId="0" applyFont="1" applyBorder="1" applyAlignment="1">
      <alignment vertical="center" wrapText="1"/>
    </xf>
    <xf numFmtId="0" fontId="37" fillId="0" borderId="27" xfId="0" applyFont="1" applyBorder="1" applyAlignment="1">
      <alignment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48" fillId="0" borderId="27" xfId="0" applyFont="1" applyBorder="1" applyAlignment="1">
      <alignment vertical="center" wrapText="1"/>
    </xf>
    <xf numFmtId="44" fontId="20" fillId="0" borderId="27" xfId="2" applyFont="1" applyBorder="1" applyAlignment="1">
      <alignment vertical="center" wrapText="1"/>
    </xf>
    <xf numFmtId="44" fontId="48" fillId="0" borderId="27" xfId="2" applyFont="1" applyBorder="1" applyAlignment="1">
      <alignment vertical="center" wrapText="1"/>
    </xf>
    <xf numFmtId="44" fontId="37" fillId="0" borderId="16" xfId="2" applyFont="1" applyBorder="1" applyAlignment="1">
      <alignment vertical="center" wrapText="1"/>
    </xf>
    <xf numFmtId="0" fontId="37" fillId="0" borderId="15" xfId="0" applyFont="1" applyBorder="1" applyAlignment="1">
      <alignment vertical="center" wrapText="1"/>
    </xf>
    <xf numFmtId="0" fontId="48" fillId="0" borderId="9" xfId="0" applyFont="1" applyBorder="1" applyAlignment="1">
      <alignment horizontal="center" vertical="center" wrapText="1"/>
    </xf>
    <xf numFmtId="44" fontId="20" fillId="0" borderId="0" xfId="2" applyFont="1" applyBorder="1" applyAlignment="1">
      <alignment vertical="center" wrapText="1"/>
    </xf>
    <xf numFmtId="44" fontId="37" fillId="0" borderId="29" xfId="2" applyFont="1" applyBorder="1" applyAlignment="1">
      <alignment vertical="center" wrapText="1"/>
    </xf>
    <xf numFmtId="0" fontId="48" fillId="0" borderId="15" xfId="0" applyFont="1" applyBorder="1" applyAlignment="1">
      <alignment vertical="center" wrapText="1"/>
    </xf>
    <xf numFmtId="0" fontId="48" fillId="0" borderId="18" xfId="0" applyFont="1" applyBorder="1" applyAlignment="1">
      <alignment horizontal="center" vertical="center" wrapText="1"/>
    </xf>
    <xf numFmtId="44" fontId="37" fillId="0" borderId="18" xfId="2" applyFont="1" applyBorder="1" applyAlignment="1">
      <alignment vertical="center" wrapText="1"/>
    </xf>
    <xf numFmtId="44" fontId="20" fillId="0" borderId="18" xfId="2" applyFont="1" applyBorder="1" applyAlignment="1">
      <alignment vertical="center" wrapText="1"/>
    </xf>
    <xf numFmtId="44" fontId="37" fillId="3" borderId="29" xfId="2" applyFont="1" applyFill="1" applyBorder="1" applyAlignment="1">
      <alignment vertical="center" wrapText="1"/>
    </xf>
    <xf numFmtId="0" fontId="48" fillId="0" borderId="29" xfId="0" applyFont="1" applyBorder="1" applyAlignment="1">
      <alignment vertical="center" wrapText="1"/>
    </xf>
    <xf numFmtId="0" fontId="47" fillId="0" borderId="15" xfId="0" applyFont="1" applyBorder="1"/>
    <xf numFmtId="0" fontId="47" fillId="0" borderId="29" xfId="0" applyFont="1" applyBorder="1"/>
    <xf numFmtId="0" fontId="37" fillId="0" borderId="15" xfId="0" applyFont="1" applyBorder="1"/>
    <xf numFmtId="0" fontId="37" fillId="0" borderId="25" xfId="0" applyFont="1" applyBorder="1" applyAlignment="1">
      <alignment horizontal="center"/>
    </xf>
    <xf numFmtId="0" fontId="37" fillId="0" borderId="0" xfId="0" applyFont="1" applyAlignment="1">
      <alignment horizontal="center"/>
    </xf>
    <xf numFmtId="44" fontId="37" fillId="0" borderId="0" xfId="2" applyFont="1" applyBorder="1"/>
    <xf numFmtId="0" fontId="37" fillId="0" borderId="29" xfId="0" applyFont="1" applyBorder="1"/>
    <xf numFmtId="0" fontId="37" fillId="0" borderId="33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44" fontId="37" fillId="7" borderId="0" xfId="2" applyFont="1" applyFill="1" applyBorder="1" applyAlignment="1">
      <alignment horizontal="center"/>
    </xf>
    <xf numFmtId="0" fontId="47" fillId="0" borderId="18" xfId="0" applyFont="1" applyBorder="1" applyAlignment="1">
      <alignment horizontal="center"/>
    </xf>
    <xf numFmtId="44" fontId="47" fillId="0" borderId="0" xfId="0" applyNumberFormat="1" applyFont="1" applyAlignment="1">
      <alignment horizontal="center"/>
    </xf>
    <xf numFmtId="44" fontId="47" fillId="0" borderId="18" xfId="0" applyNumberFormat="1" applyFont="1" applyBorder="1"/>
    <xf numFmtId="44" fontId="54" fillId="0" borderId="18" xfId="0" applyNumberFormat="1" applyFont="1" applyBorder="1"/>
    <xf numFmtId="44" fontId="54" fillId="0" borderId="0" xfId="0" applyNumberFormat="1" applyFont="1"/>
    <xf numFmtId="44" fontId="47" fillId="3" borderId="29" xfId="2" applyFont="1" applyFill="1" applyBorder="1"/>
    <xf numFmtId="44" fontId="47" fillId="0" borderId="0" xfId="2" applyFont="1" applyBorder="1"/>
    <xf numFmtId="0" fontId="47" fillId="0" borderId="4" xfId="0" applyFont="1" applyBorder="1"/>
    <xf numFmtId="0" fontId="47" fillId="0" borderId="28" xfId="0" applyFont="1" applyBorder="1"/>
    <xf numFmtId="0" fontId="47" fillId="0" borderId="28" xfId="0" applyFont="1" applyBorder="1" applyAlignment="1">
      <alignment horizontal="center"/>
    </xf>
    <xf numFmtId="44" fontId="47" fillId="0" borderId="28" xfId="2" applyFont="1" applyBorder="1"/>
    <xf numFmtId="0" fontId="47" fillId="0" borderId="30" xfId="0" applyFont="1" applyBorder="1"/>
    <xf numFmtId="0" fontId="55" fillId="0" borderId="6" xfId="0" applyFont="1" applyBorder="1" applyAlignment="1">
      <alignment vertical="center" wrapText="1"/>
    </xf>
    <xf numFmtId="44" fontId="37" fillId="0" borderId="0" xfId="2" applyFont="1"/>
    <xf numFmtId="0" fontId="20" fillId="0" borderId="18" xfId="0" applyFont="1" applyBorder="1" applyAlignment="1">
      <alignment horizontal="center"/>
    </xf>
    <xf numFmtId="4" fontId="1" fillId="13" borderId="1" xfId="0" applyNumberFormat="1" applyFont="1" applyFill="1" applyBorder="1" applyAlignment="1">
      <alignment horizontal="center" vertical="center" wrapText="1"/>
    </xf>
    <xf numFmtId="0" fontId="49" fillId="13" borderId="0" xfId="0" applyFont="1" applyFill="1" applyAlignment="1">
      <alignment horizontal="center" vertical="center" wrapText="1"/>
    </xf>
    <xf numFmtId="0" fontId="49" fillId="0" borderId="0" xfId="0" applyFont="1"/>
    <xf numFmtId="44" fontId="20" fillId="0" borderId="18" xfId="2" applyFont="1" applyBorder="1"/>
    <xf numFmtId="44" fontId="37" fillId="0" borderId="25" xfId="2" applyFont="1" applyBorder="1"/>
    <xf numFmtId="44" fontId="37" fillId="0" borderId="33" xfId="2" applyFont="1" applyBorder="1"/>
    <xf numFmtId="44" fontId="37" fillId="0" borderId="9" xfId="2" applyFont="1" applyBorder="1"/>
    <xf numFmtId="0" fontId="20" fillId="0" borderId="0" xfId="0" applyFont="1" applyAlignment="1">
      <alignment horizontal="center"/>
    </xf>
    <xf numFmtId="44" fontId="20" fillId="0" borderId="0" xfId="2" applyFont="1" applyBorder="1"/>
    <xf numFmtId="44" fontId="20" fillId="0" borderId="18" xfId="0" applyNumberFormat="1" applyFont="1" applyBorder="1"/>
    <xf numFmtId="44" fontId="2" fillId="11" borderId="48" xfId="2" applyFont="1" applyFill="1" applyBorder="1" applyAlignment="1">
      <alignment horizontal="center" vertical="center" wrapText="1"/>
    </xf>
    <xf numFmtId="4" fontId="1" fillId="0" borderId="53" xfId="0" applyNumberFormat="1" applyFont="1" applyBorder="1" applyAlignment="1">
      <alignment horizontal="center" vertical="center" wrapText="1"/>
    </xf>
    <xf numFmtId="44" fontId="37" fillId="0" borderId="54" xfId="0" applyNumberFormat="1" applyFont="1" applyBorder="1" applyAlignment="1">
      <alignment horizontal="center" vertical="center" wrapText="1"/>
    </xf>
    <xf numFmtId="4" fontId="1" fillId="0" borderId="54" xfId="0" applyNumberFormat="1" applyFont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44" fontId="37" fillId="0" borderId="54" xfId="2" applyFont="1" applyBorder="1" applyAlignment="1">
      <alignment horizontal="center" vertical="center" wrapText="1"/>
    </xf>
    <xf numFmtId="44" fontId="1" fillId="0" borderId="54" xfId="2" applyFont="1" applyBorder="1" applyAlignment="1">
      <alignment horizontal="center" vertical="center" wrapText="1"/>
    </xf>
    <xf numFmtId="44" fontId="1" fillId="0" borderId="56" xfId="2" applyFont="1" applyBorder="1" applyAlignment="1">
      <alignment horizontal="center" vertical="center" wrapText="1"/>
    </xf>
    <xf numFmtId="4" fontId="1" fillId="0" borderId="47" xfId="0" applyNumberFormat="1" applyFont="1" applyBorder="1" applyAlignment="1">
      <alignment horizontal="center" vertical="center" wrapText="1"/>
    </xf>
    <xf numFmtId="0" fontId="37" fillId="13" borderId="0" xfId="0" applyFont="1" applyFill="1"/>
    <xf numFmtId="0" fontId="37" fillId="0" borderId="48" xfId="0" applyFont="1" applyBorder="1"/>
    <xf numFmtId="0" fontId="1" fillId="3" borderId="47" xfId="0" applyFont="1" applyFill="1" applyBorder="1" applyAlignment="1">
      <alignment horizontal="center" vertical="center" wrapText="1"/>
    </xf>
    <xf numFmtId="44" fontId="37" fillId="0" borderId="0" xfId="2" applyFont="1" applyBorder="1" applyAlignment="1">
      <alignment horizontal="center" vertical="center"/>
    </xf>
    <xf numFmtId="0" fontId="37" fillId="3" borderId="0" xfId="0" applyFont="1" applyFill="1"/>
    <xf numFmtId="0" fontId="51" fillId="0" borderId="0" xfId="0" applyFont="1" applyAlignment="1">
      <alignment horizontal="center" vertical="center"/>
    </xf>
    <xf numFmtId="0" fontId="36" fillId="0" borderId="49" xfId="0" applyFont="1" applyBorder="1" applyAlignment="1">
      <alignment horizontal="center" vertical="center" wrapText="1"/>
    </xf>
    <xf numFmtId="44" fontId="51" fillId="0" borderId="50" xfId="0" applyNumberFormat="1" applyFont="1" applyBorder="1" applyAlignment="1">
      <alignment horizontal="center" vertical="center" wrapText="1"/>
    </xf>
    <xf numFmtId="4" fontId="42" fillId="0" borderId="50" xfId="0" applyNumberFormat="1" applyFont="1" applyBorder="1" applyAlignment="1">
      <alignment horizontal="center" vertical="center" wrapText="1"/>
    </xf>
    <xf numFmtId="4" fontId="46" fillId="0" borderId="50" xfId="0" applyNumberFormat="1" applyFont="1" applyBorder="1" applyAlignment="1">
      <alignment horizontal="center" vertical="center" wrapText="1"/>
    </xf>
    <xf numFmtId="0" fontId="49" fillId="13" borderId="50" xfId="0" applyFont="1" applyFill="1" applyBorder="1" applyAlignment="1">
      <alignment horizontal="center" vertical="center" wrapText="1"/>
    </xf>
    <xf numFmtId="0" fontId="49" fillId="0" borderId="50" xfId="0" applyFont="1" applyBorder="1" applyAlignment="1">
      <alignment horizontal="center" vertical="center"/>
    </xf>
    <xf numFmtId="44" fontId="49" fillId="0" borderId="50" xfId="2" applyFont="1" applyBorder="1" applyAlignment="1">
      <alignment horizontal="center" vertical="center"/>
    </xf>
    <xf numFmtId="0" fontId="49" fillId="0" borderId="50" xfId="0" applyFont="1" applyBorder="1"/>
    <xf numFmtId="0" fontId="37" fillId="0" borderId="50" xfId="0" applyFont="1" applyBorder="1" applyAlignment="1">
      <alignment horizontal="center"/>
    </xf>
    <xf numFmtId="44" fontId="49" fillId="0" borderId="50" xfId="2" applyFont="1" applyBorder="1"/>
    <xf numFmtId="44" fontId="56" fillId="0" borderId="50" xfId="2" applyFont="1" applyBorder="1"/>
    <xf numFmtId="44" fontId="38" fillId="11" borderId="52" xfId="2" applyFont="1" applyFill="1" applyBorder="1" applyAlignment="1">
      <alignment horizontal="center" vertical="center" wrapText="1"/>
    </xf>
    <xf numFmtId="44" fontId="54" fillId="0" borderId="57" xfId="0" applyNumberFormat="1" applyFont="1" applyBorder="1"/>
    <xf numFmtId="44" fontId="37" fillId="17" borderId="0" xfId="2" applyFont="1" applyFill="1" applyBorder="1" applyAlignment="1">
      <alignment horizontal="center" vertical="center"/>
    </xf>
    <xf numFmtId="44" fontId="56" fillId="17" borderId="50" xfId="2" applyFont="1" applyFill="1" applyBorder="1" applyAlignment="1">
      <alignment horizontal="center" vertical="center"/>
    </xf>
    <xf numFmtId="0" fontId="22" fillId="17" borderId="54" xfId="0" applyFont="1" applyFill="1" applyBorder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  <xf numFmtId="0" fontId="42" fillId="17" borderId="50" xfId="0" applyFont="1" applyFill="1" applyBorder="1" applyAlignment="1">
      <alignment horizontal="center" vertical="center" wrapText="1"/>
    </xf>
    <xf numFmtId="44" fontId="54" fillId="17" borderId="18" xfId="2" applyFont="1" applyFill="1" applyBorder="1"/>
    <xf numFmtId="0" fontId="37" fillId="12" borderId="0" xfId="0" applyFont="1" applyFill="1" applyAlignment="1">
      <alignment horizontal="center"/>
    </xf>
    <xf numFmtId="0" fontId="49" fillId="12" borderId="50" xfId="0" applyFont="1" applyFill="1" applyBorder="1" applyAlignment="1">
      <alignment horizontal="center" vertical="center"/>
    </xf>
    <xf numFmtId="0" fontId="2" fillId="12" borderId="55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3" fontId="42" fillId="12" borderId="50" xfId="0" applyNumberFormat="1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4" fillId="0" borderId="18" xfId="0" applyFont="1" applyBorder="1"/>
    <xf numFmtId="0" fontId="2" fillId="12" borderId="0" xfId="0" applyFont="1" applyFill="1" applyAlignment="1">
      <alignment horizontal="right" vertical="center" wrapText="1"/>
    </xf>
    <xf numFmtId="0" fontId="47" fillId="0" borderId="31" xfId="0" applyFont="1" applyBorder="1"/>
    <xf numFmtId="0" fontId="47" fillId="0" borderId="7" xfId="0" applyFont="1" applyBorder="1"/>
    <xf numFmtId="0" fontId="47" fillId="0" borderId="7" xfId="0" applyFont="1" applyBorder="1" applyAlignment="1">
      <alignment horizontal="center"/>
    </xf>
    <xf numFmtId="0" fontId="54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/>
    </xf>
    <xf numFmtId="0" fontId="47" fillId="0" borderId="8" xfId="0" applyFont="1" applyBorder="1"/>
    <xf numFmtId="0" fontId="47" fillId="0" borderId="68" xfId="0" applyFont="1" applyBorder="1" applyAlignment="1">
      <alignment horizontal="center"/>
    </xf>
    <xf numFmtId="0" fontId="47" fillId="0" borderId="68" xfId="0" applyFont="1" applyBorder="1"/>
    <xf numFmtId="3" fontId="47" fillId="12" borderId="0" xfId="0" applyNumberFormat="1" applyFont="1" applyFill="1"/>
    <xf numFmtId="0" fontId="47" fillId="12" borderId="0" xfId="0" applyFont="1" applyFill="1"/>
    <xf numFmtId="4" fontId="47" fillId="0" borderId="0" xfId="0" applyNumberFormat="1" applyFont="1"/>
    <xf numFmtId="4" fontId="37" fillId="17" borderId="0" xfId="0" applyNumberFormat="1" applyFont="1" applyFill="1" applyAlignment="1">
      <alignment vertical="center" wrapText="1"/>
    </xf>
    <xf numFmtId="0" fontId="37" fillId="0" borderId="68" xfId="0" applyFont="1" applyBorder="1" applyAlignment="1">
      <alignment horizontal="center" vertical="center" wrapText="1"/>
    </xf>
    <xf numFmtId="0" fontId="37" fillId="9" borderId="0" xfId="0" applyFont="1" applyFill="1"/>
    <xf numFmtId="0" fontId="37" fillId="0" borderId="68" xfId="0" applyFont="1" applyBorder="1" applyAlignment="1">
      <alignment horizontal="center"/>
    </xf>
    <xf numFmtId="44" fontId="47" fillId="0" borderId="0" xfId="0" applyNumberFormat="1" applyFont="1"/>
    <xf numFmtId="0" fontId="47" fillId="0" borderId="11" xfId="0" applyFont="1" applyBorder="1"/>
    <xf numFmtId="0" fontId="47" fillId="0" borderId="6" xfId="0" applyFont="1" applyBorder="1"/>
    <xf numFmtId="0" fontId="47" fillId="0" borderId="6" xfId="0" applyFont="1" applyBorder="1" applyAlignment="1">
      <alignment horizontal="center"/>
    </xf>
    <xf numFmtId="0" fontId="47" fillId="0" borderId="12" xfId="0" applyFont="1" applyBorder="1"/>
    <xf numFmtId="0" fontId="41" fillId="0" borderId="0" xfId="0" applyFont="1" applyAlignment="1">
      <alignment horizontal="center" vertical="center" textRotation="255"/>
    </xf>
    <xf numFmtId="0" fontId="42" fillId="7" borderId="0" xfId="0" applyFont="1" applyFill="1" applyAlignment="1">
      <alignment horizontal="center" vertical="center" wrapText="1"/>
    </xf>
    <xf numFmtId="0" fontId="49" fillId="12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44" fontId="49" fillId="0" borderId="0" xfId="2" applyFont="1" applyBorder="1" applyAlignment="1">
      <alignment horizontal="center" vertical="center"/>
    </xf>
    <xf numFmtId="44" fontId="56" fillId="17" borderId="0" xfId="2" applyFont="1" applyFill="1" applyBorder="1" applyAlignment="1">
      <alignment horizontal="center" vertical="center"/>
    </xf>
    <xf numFmtId="44" fontId="49" fillId="0" borderId="0" xfId="2" applyFont="1" applyBorder="1"/>
    <xf numFmtId="44" fontId="56" fillId="0" borderId="0" xfId="2" applyFont="1" applyBorder="1"/>
    <xf numFmtId="44" fontId="38" fillId="11" borderId="0" xfId="2" applyFont="1" applyFill="1" applyBorder="1" applyAlignment="1">
      <alignment horizontal="center" vertical="center" wrapText="1"/>
    </xf>
    <xf numFmtId="4" fontId="1" fillId="0" borderId="50" xfId="0" applyNumberFormat="1" applyFont="1" applyBorder="1" applyAlignment="1">
      <alignment horizontal="center" vertical="center" wrapText="1"/>
    </xf>
    <xf numFmtId="44" fontId="1" fillId="7" borderId="0" xfId="2" applyFont="1" applyFill="1" applyBorder="1" applyAlignment="1">
      <alignment horizontal="right" vertical="center" wrapText="1"/>
    </xf>
    <xf numFmtId="44" fontId="37" fillId="7" borderId="0" xfId="2" applyFont="1" applyFill="1" applyBorder="1" applyAlignment="1">
      <alignment horizontal="right" vertical="center" wrapText="1"/>
    </xf>
    <xf numFmtId="4" fontId="1" fillId="23" borderId="0" xfId="0" applyNumberFormat="1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3" fontId="47" fillId="12" borderId="0" xfId="0" applyNumberFormat="1" applyFont="1" applyFill="1" applyAlignment="1">
      <alignment horizontal="center"/>
    </xf>
    <xf numFmtId="0" fontId="47" fillId="12" borderId="0" xfId="0" applyFont="1" applyFill="1" applyAlignment="1">
      <alignment horizontal="center"/>
    </xf>
    <xf numFmtId="0" fontId="54" fillId="0" borderId="18" xfId="0" applyFont="1" applyBorder="1" applyAlignment="1">
      <alignment horizontal="center"/>
    </xf>
    <xf numFmtId="4" fontId="20" fillId="0" borderId="0" xfId="0" applyNumberFormat="1" applyFont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 wrapText="1"/>
    </xf>
    <xf numFmtId="4" fontId="20" fillId="23" borderId="0" xfId="0" applyNumberFormat="1" applyFont="1" applyFill="1" applyAlignment="1">
      <alignment horizontal="center" vertical="center" wrapText="1"/>
    </xf>
    <xf numFmtId="4" fontId="20" fillId="0" borderId="1" xfId="0" applyNumberFormat="1" applyFont="1" applyBorder="1" applyAlignment="1">
      <alignment horizontal="center" vertical="center" wrapText="1"/>
    </xf>
    <xf numFmtId="4" fontId="20" fillId="22" borderId="0" xfId="0" applyNumberFormat="1" applyFont="1" applyFill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0" fillId="11" borderId="0" xfId="0" applyFont="1" applyFill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47" fillId="23" borderId="0" xfId="0" applyFont="1" applyFill="1" applyAlignment="1">
      <alignment vertical="center"/>
    </xf>
    <xf numFmtId="0" fontId="37" fillId="22" borderId="0" xfId="0" applyFont="1" applyFill="1" applyAlignment="1">
      <alignment horizontal="center" vertical="center"/>
    </xf>
    <xf numFmtId="0" fontId="55" fillId="0" borderId="0" xfId="0" applyFont="1" applyAlignment="1">
      <alignment vertical="center" wrapText="1"/>
    </xf>
    <xf numFmtId="0" fontId="37" fillId="19" borderId="0" xfId="0" applyFont="1" applyFill="1" applyAlignment="1">
      <alignment horizontal="center" vertical="center"/>
    </xf>
    <xf numFmtId="4" fontId="20" fillId="11" borderId="18" xfId="0" applyNumberFormat="1" applyFont="1" applyFill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4" fontId="37" fillId="11" borderId="18" xfId="0" applyNumberFormat="1" applyFont="1" applyFill="1" applyBorder="1" applyAlignment="1">
      <alignment horizontal="center" vertical="center" wrapText="1"/>
    </xf>
    <xf numFmtId="0" fontId="37" fillId="23" borderId="0" xfId="0" applyFont="1" applyFill="1"/>
    <xf numFmtId="0" fontId="37" fillId="23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3" fontId="61" fillId="0" borderId="0" xfId="0" applyNumberFormat="1" applyFont="1" applyAlignment="1">
      <alignment horizontal="center" vertical="center"/>
    </xf>
    <xf numFmtId="3" fontId="60" fillId="0" borderId="0" xfId="0" applyNumberFormat="1" applyFont="1" applyAlignment="1">
      <alignment horizontal="center" vertical="center"/>
    </xf>
    <xf numFmtId="4" fontId="20" fillId="17" borderId="0" xfId="0" applyNumberFormat="1" applyFont="1" applyFill="1" applyAlignment="1">
      <alignment horizontal="center" vertical="center" wrapText="1"/>
    </xf>
    <xf numFmtId="4" fontId="62" fillId="0" borderId="0" xfId="0" applyNumberFormat="1" applyFont="1" applyAlignment="1">
      <alignment horizontal="center" vertical="center" wrapText="1"/>
    </xf>
    <xf numFmtId="3" fontId="37" fillId="0" borderId="0" xfId="0" applyNumberFormat="1" applyFont="1" applyAlignment="1">
      <alignment horizontal="center" vertical="center"/>
    </xf>
    <xf numFmtId="0" fontId="37" fillId="9" borderId="0" xfId="0" applyFont="1" applyFill="1" applyAlignment="1">
      <alignment vertical="center"/>
    </xf>
    <xf numFmtId="0" fontId="59" fillId="22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4" fontId="63" fillId="0" borderId="0" xfId="0" applyNumberFormat="1" applyFont="1" applyAlignment="1">
      <alignment horizontal="center" vertical="center" wrapText="1"/>
    </xf>
    <xf numFmtId="4" fontId="63" fillId="22" borderId="0" xfId="0" applyNumberFormat="1" applyFont="1" applyFill="1" applyAlignment="1">
      <alignment horizontal="center" vertical="center" wrapText="1"/>
    </xf>
    <xf numFmtId="4" fontId="1" fillId="0" borderId="18" xfId="0" applyNumberFormat="1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/>
    </xf>
    <xf numFmtId="0" fontId="51" fillId="0" borderId="7" xfId="0" applyFont="1" applyBorder="1" applyAlignment="1">
      <alignment vertical="center"/>
    </xf>
    <xf numFmtId="4" fontId="20" fillId="0" borderId="7" xfId="0" applyNumberFormat="1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/>
    </xf>
    <xf numFmtId="3" fontId="20" fillId="0" borderId="7" xfId="0" applyNumberFormat="1" applyFont="1" applyBorder="1" applyAlignment="1">
      <alignment horizontal="center" vertical="center"/>
    </xf>
    <xf numFmtId="3" fontId="37" fillId="0" borderId="7" xfId="0" applyNumberFormat="1" applyFont="1" applyBorder="1" applyAlignment="1">
      <alignment horizontal="center" vertical="center"/>
    </xf>
    <xf numFmtId="0" fontId="37" fillId="0" borderId="7" xfId="0" applyFont="1" applyBorder="1" applyAlignment="1">
      <alignment vertical="center"/>
    </xf>
    <xf numFmtId="4" fontId="20" fillId="17" borderId="7" xfId="0" applyNumberFormat="1" applyFont="1" applyFill="1" applyBorder="1" applyAlignment="1">
      <alignment horizontal="center" vertical="center" wrapText="1"/>
    </xf>
    <xf numFmtId="4" fontId="20" fillId="0" borderId="32" xfId="0" applyNumberFormat="1" applyFont="1" applyBorder="1" applyAlignment="1">
      <alignment horizontal="center" vertical="center" wrapText="1"/>
    </xf>
    <xf numFmtId="4" fontId="20" fillId="23" borderId="68" xfId="0" applyNumberFormat="1" applyFont="1" applyFill="1" applyBorder="1" applyAlignment="1">
      <alignment horizontal="center" vertical="center" wrapText="1"/>
    </xf>
    <xf numFmtId="4" fontId="20" fillId="0" borderId="69" xfId="0" applyNumberFormat="1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4" fontId="1" fillId="0" borderId="68" xfId="0" applyNumberFormat="1" applyFont="1" applyBorder="1" applyAlignment="1">
      <alignment horizontal="center" vertical="center" wrapText="1"/>
    </xf>
    <xf numFmtId="0" fontId="48" fillId="23" borderId="0" xfId="0" applyFont="1" applyFill="1" applyAlignment="1">
      <alignment vertical="center"/>
    </xf>
    <xf numFmtId="4" fontId="53" fillId="23" borderId="0" xfId="0" applyNumberFormat="1" applyFont="1" applyFill="1" applyAlignment="1">
      <alignment horizontal="center" vertical="center" wrapText="1"/>
    </xf>
    <xf numFmtId="0" fontId="48" fillId="23" borderId="0" xfId="0" applyFont="1" applyFill="1" applyAlignment="1">
      <alignment horizontal="center" vertical="center"/>
    </xf>
    <xf numFmtId="3" fontId="53" fillId="23" borderId="0" xfId="0" applyNumberFormat="1" applyFont="1" applyFill="1" applyAlignment="1">
      <alignment horizontal="center" vertical="center"/>
    </xf>
    <xf numFmtId="3" fontId="48" fillId="23" borderId="0" xfId="0" applyNumberFormat="1" applyFont="1" applyFill="1" applyAlignment="1">
      <alignment horizontal="center" vertical="center"/>
    </xf>
    <xf numFmtId="4" fontId="53" fillId="23" borderId="68" xfId="0" applyNumberFormat="1" applyFont="1" applyFill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50" fillId="0" borderId="6" xfId="0" applyFont="1" applyBorder="1"/>
    <xf numFmtId="4" fontId="1" fillId="0" borderId="6" xfId="0" applyNumberFormat="1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/>
    </xf>
    <xf numFmtId="0" fontId="37" fillId="0" borderId="6" xfId="0" applyFont="1" applyBorder="1"/>
    <xf numFmtId="4" fontId="1" fillId="0" borderId="12" xfId="0" applyNumberFormat="1" applyFont="1" applyBorder="1" applyAlignment="1">
      <alignment horizontal="center" vertical="center" wrapText="1"/>
    </xf>
    <xf numFmtId="4" fontId="48" fillId="23" borderId="18" xfId="0" applyNumberFormat="1" applyFont="1" applyFill="1" applyBorder="1" applyAlignment="1">
      <alignment horizontal="center" vertical="center" wrapText="1"/>
    </xf>
    <xf numFmtId="0" fontId="47" fillId="23" borderId="68" xfId="0" applyFont="1" applyFill="1" applyBorder="1" applyAlignment="1">
      <alignment vertical="center"/>
    </xf>
    <xf numFmtId="0" fontId="48" fillId="23" borderId="68" xfId="0" applyFont="1" applyFill="1" applyBorder="1" applyAlignment="1">
      <alignment vertical="center"/>
    </xf>
    <xf numFmtId="0" fontId="53" fillId="23" borderId="6" xfId="0" applyFont="1" applyFill="1" applyBorder="1" applyAlignment="1">
      <alignment vertical="center"/>
    </xf>
    <xf numFmtId="4" fontId="53" fillId="23" borderId="6" xfId="0" applyNumberFormat="1" applyFont="1" applyFill="1" applyBorder="1" applyAlignment="1">
      <alignment horizontal="center" vertical="center" wrapText="1"/>
    </xf>
    <xf numFmtId="0" fontId="53" fillId="23" borderId="36" xfId="0" applyFont="1" applyFill="1" applyBorder="1" applyAlignment="1">
      <alignment horizontal="center" vertical="center"/>
    </xf>
    <xf numFmtId="0" fontId="48" fillId="23" borderId="6" xfId="0" applyFont="1" applyFill="1" applyBorder="1" applyAlignment="1">
      <alignment horizontal="center" vertical="center"/>
    </xf>
    <xf numFmtId="0" fontId="48" fillId="23" borderId="6" xfId="0" applyFont="1" applyFill="1" applyBorder="1" applyAlignment="1">
      <alignment vertical="center"/>
    </xf>
    <xf numFmtId="4" fontId="53" fillId="23" borderId="36" xfId="0" applyNumberFormat="1" applyFont="1" applyFill="1" applyBorder="1" applyAlignment="1">
      <alignment horizontal="center" vertical="center" wrapText="1"/>
    </xf>
    <xf numFmtId="4" fontId="53" fillId="23" borderId="70" xfId="0" applyNumberFormat="1" applyFont="1" applyFill="1" applyBorder="1" applyAlignment="1">
      <alignment horizontal="center" vertical="center" wrapText="1"/>
    </xf>
    <xf numFmtId="4" fontId="53" fillId="23" borderId="71" xfId="0" applyNumberFormat="1" applyFont="1" applyFill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/>
    </xf>
    <xf numFmtId="0" fontId="51" fillId="0" borderId="31" xfId="0" applyFont="1" applyBorder="1" applyAlignment="1">
      <alignment vertical="center" wrapText="1"/>
    </xf>
    <xf numFmtId="0" fontId="59" fillId="22" borderId="7" xfId="0" applyFont="1" applyFill="1" applyBorder="1" applyAlignment="1">
      <alignment horizontal="center" vertical="center"/>
    </xf>
    <xf numFmtId="0" fontId="37" fillId="0" borderId="8" xfId="0" applyFont="1" applyBorder="1" applyAlignment="1">
      <alignment vertical="center" wrapText="1"/>
    </xf>
    <xf numFmtId="4" fontId="37" fillId="0" borderId="0" xfId="0" applyNumberFormat="1" applyFont="1" applyAlignment="1">
      <alignment horizontal="center" vertical="center" wrapText="1"/>
    </xf>
    <xf numFmtId="4" fontId="37" fillId="0" borderId="68" xfId="0" applyNumberFormat="1" applyFont="1" applyBorder="1" applyAlignment="1">
      <alignment horizontal="center" vertical="center" wrapText="1"/>
    </xf>
    <xf numFmtId="0" fontId="55" fillId="0" borderId="8" xfId="0" applyFont="1" applyBorder="1" applyAlignment="1">
      <alignment vertical="center" wrapText="1"/>
    </xf>
    <xf numFmtId="0" fontId="0" fillId="0" borderId="68" xfId="0" applyBorder="1"/>
    <xf numFmtId="0" fontId="37" fillId="0" borderId="8" xfId="0" applyFont="1" applyBorder="1" applyAlignment="1">
      <alignment vertical="center"/>
    </xf>
    <xf numFmtId="4" fontId="20" fillId="0" borderId="68" xfId="0" applyNumberFormat="1" applyFont="1" applyBorder="1" applyAlignment="1">
      <alignment horizontal="center" vertical="center" wrapText="1"/>
    </xf>
    <xf numFmtId="4" fontId="63" fillId="0" borderId="68" xfId="0" applyNumberFormat="1" applyFont="1" applyBorder="1" applyAlignment="1">
      <alignment horizontal="center" vertical="center" wrapText="1"/>
    </xf>
    <xf numFmtId="0" fontId="55" fillId="0" borderId="11" xfId="0" applyFont="1" applyBorder="1" applyAlignment="1">
      <alignment vertical="center" wrapText="1"/>
    </xf>
    <xf numFmtId="4" fontId="20" fillId="0" borderId="6" xfId="0" applyNumberFormat="1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/>
    </xf>
    <xf numFmtId="4" fontId="20" fillId="23" borderId="6" xfId="0" applyNumberFormat="1" applyFont="1" applyFill="1" applyBorder="1" applyAlignment="1">
      <alignment horizontal="center" vertical="center" wrapText="1"/>
    </xf>
    <xf numFmtId="4" fontId="20" fillId="23" borderId="12" xfId="0" applyNumberFormat="1" applyFont="1" applyFill="1" applyBorder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64" fillId="0" borderId="12" xfId="0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 wrapText="1"/>
    </xf>
    <xf numFmtId="4" fontId="20" fillId="20" borderId="18" xfId="0" applyNumberFormat="1" applyFont="1" applyFill="1" applyBorder="1" applyAlignment="1">
      <alignment horizontal="center" vertical="center" wrapText="1"/>
    </xf>
    <xf numFmtId="3" fontId="2" fillId="12" borderId="0" xfId="0" applyNumberFormat="1" applyFont="1" applyFill="1" applyAlignment="1">
      <alignment horizontal="center" vertical="center" wrapText="1"/>
    </xf>
    <xf numFmtId="3" fontId="20" fillId="11" borderId="1" xfId="0" applyNumberFormat="1" applyFont="1" applyFill="1" applyBorder="1" applyAlignment="1">
      <alignment horizontal="center" vertical="center"/>
    </xf>
    <xf numFmtId="4" fontId="20" fillId="11" borderId="1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/>
    </xf>
    <xf numFmtId="4" fontId="20" fillId="11" borderId="0" xfId="0" applyNumberFormat="1" applyFont="1" applyFill="1" applyAlignment="1">
      <alignment horizontal="center" vertical="center" wrapText="1"/>
    </xf>
    <xf numFmtId="3" fontId="20" fillId="23" borderId="1" xfId="0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center" vertical="center"/>
    </xf>
    <xf numFmtId="0" fontId="37" fillId="25" borderId="6" xfId="0" applyFont="1" applyFill="1" applyBorder="1" applyAlignment="1">
      <alignment vertical="center"/>
    </xf>
    <xf numFmtId="2" fontId="47" fillId="0" borderId="68" xfId="0" applyNumberFormat="1" applyFont="1" applyBorder="1" applyAlignment="1">
      <alignment horizontal="center"/>
    </xf>
    <xf numFmtId="0" fontId="14" fillId="0" borderId="0" xfId="0" applyFont="1"/>
    <xf numFmtId="0" fontId="20" fillId="0" borderId="1" xfId="0" applyFont="1" applyBorder="1" applyAlignment="1">
      <alignment horizontal="center"/>
    </xf>
    <xf numFmtId="3" fontId="47" fillId="10" borderId="0" xfId="0" applyNumberFormat="1" applyFont="1" applyFill="1" applyAlignment="1">
      <alignment horizontal="center"/>
    </xf>
    <xf numFmtId="2" fontId="47" fillId="10" borderId="68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/>
    </xf>
    <xf numFmtId="0" fontId="1" fillId="23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37" fillId="0" borderId="68" xfId="0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23" borderId="8" xfId="0" applyFont="1" applyFill="1" applyBorder="1" applyAlignment="1">
      <alignment horizontal="center" vertical="center" wrapText="1"/>
    </xf>
    <xf numFmtId="0" fontId="24" fillId="23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0" borderId="1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textRotation="255"/>
    </xf>
    <xf numFmtId="0" fontId="41" fillId="0" borderId="8" xfId="0" applyFont="1" applyBorder="1" applyAlignment="1">
      <alignment horizontal="center" vertical="center" textRotation="255"/>
    </xf>
    <xf numFmtId="0" fontId="11" fillId="0" borderId="25" xfId="0" applyFont="1" applyBorder="1" applyAlignment="1">
      <alignment horizontal="center" vertical="center" textRotation="255"/>
    </xf>
    <xf numFmtId="0" fontId="11" fillId="0" borderId="33" xfId="0" applyFont="1" applyBorder="1" applyAlignment="1">
      <alignment horizontal="center" vertical="center" textRotation="255"/>
    </xf>
    <xf numFmtId="0" fontId="11" fillId="0" borderId="9" xfId="0" applyFont="1" applyBorder="1" applyAlignment="1">
      <alignment horizontal="center" vertical="center" textRotation="255"/>
    </xf>
    <xf numFmtId="44" fontId="37" fillId="0" borderId="10" xfId="0" applyNumberFormat="1" applyFont="1" applyBorder="1" applyAlignment="1">
      <alignment horizontal="center" vertical="center" wrapText="1"/>
    </xf>
    <xf numFmtId="44" fontId="37" fillId="0" borderId="3" xfId="0" applyNumberFormat="1" applyFont="1" applyBorder="1" applyAlignment="1">
      <alignment horizontal="center" vertical="center" wrapText="1"/>
    </xf>
    <xf numFmtId="4" fontId="1" fillId="0" borderId="67" xfId="0" applyNumberFormat="1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66" fillId="0" borderId="1" xfId="0" applyNumberFormat="1" applyFont="1" applyFill="1" applyBorder="1" applyAlignment="1">
      <alignment horizontal="center" vertical="center" textRotation="90" wrapText="1"/>
    </xf>
    <xf numFmtId="14" fontId="66" fillId="0" borderId="1" xfId="0" applyNumberFormat="1" applyFont="1" applyFill="1" applyBorder="1" applyAlignment="1">
      <alignment horizontal="center" vertical="center"/>
    </xf>
    <xf numFmtId="14" fontId="66" fillId="0" borderId="1" xfId="0" applyNumberFormat="1" applyFont="1" applyFill="1" applyBorder="1" applyAlignment="1">
      <alignment horizontal="left" vertical="center"/>
    </xf>
    <xf numFmtId="14" fontId="67" fillId="0" borderId="2" xfId="0" applyNumberFormat="1" applyFont="1" applyFill="1" applyBorder="1" applyAlignment="1">
      <alignment horizontal="center" vertical="center" textRotation="90" wrapText="1"/>
    </xf>
    <xf numFmtId="2" fontId="67" fillId="0" borderId="1" xfId="0" applyNumberFormat="1" applyFont="1" applyFill="1" applyBorder="1" applyAlignment="1">
      <alignment horizontal="center" vertical="center" textRotation="90" wrapText="1"/>
    </xf>
    <xf numFmtId="2" fontId="66" fillId="0" borderId="1" xfId="0" applyNumberFormat="1" applyFont="1" applyFill="1" applyBorder="1" applyAlignment="1">
      <alignment horizontal="center" vertical="center" textRotation="90" wrapText="1"/>
    </xf>
    <xf numFmtId="2" fontId="66" fillId="0" borderId="1" xfId="0" applyNumberFormat="1" applyFont="1" applyFill="1" applyBorder="1" applyAlignment="1">
      <alignment horizontal="right" vertical="center" textRotation="90" wrapText="1"/>
    </xf>
    <xf numFmtId="0" fontId="66" fillId="0" borderId="1" xfId="0" applyFont="1" applyFill="1" applyBorder="1" applyAlignment="1">
      <alignment horizontal="center" vertical="center" textRotation="90" wrapText="1"/>
    </xf>
    <xf numFmtId="164" fontId="66" fillId="0" borderId="1" xfId="0" applyNumberFormat="1" applyFont="1" applyFill="1" applyBorder="1" applyAlignment="1">
      <alignment horizontal="center" vertical="center" textRotation="90" wrapText="1"/>
    </xf>
    <xf numFmtId="3" fontId="66" fillId="0" borderId="1" xfId="0" applyNumberFormat="1" applyFont="1" applyFill="1" applyBorder="1" applyAlignment="1">
      <alignment horizontal="center" vertical="center" textRotation="90" wrapText="1"/>
    </xf>
    <xf numFmtId="2" fontId="66" fillId="0" borderId="1" xfId="2" applyNumberFormat="1" applyFont="1" applyFill="1" applyBorder="1" applyAlignment="1">
      <alignment horizontal="right" vertical="center" textRotation="90" wrapText="1"/>
    </xf>
    <xf numFmtId="0" fontId="68" fillId="0" borderId="1" xfId="0" applyFont="1" applyFill="1" applyBorder="1" applyAlignment="1">
      <alignment horizontal="center" vertical="center" wrapText="1"/>
    </xf>
    <xf numFmtId="0" fontId="69" fillId="0" borderId="0" xfId="0" applyFont="1" applyFill="1"/>
    <xf numFmtId="0" fontId="67" fillId="0" borderId="1" xfId="0" applyFont="1" applyFill="1" applyBorder="1" applyAlignment="1">
      <alignment horizontal="center"/>
    </xf>
    <xf numFmtId="165" fontId="67" fillId="0" borderId="1" xfId="0" applyNumberFormat="1" applyFont="1" applyFill="1" applyBorder="1" applyAlignment="1">
      <alignment horizontal="center"/>
    </xf>
    <xf numFmtId="1" fontId="67" fillId="0" borderId="1" xfId="0" applyNumberFormat="1" applyFont="1" applyFill="1" applyBorder="1"/>
    <xf numFmtId="0" fontId="67" fillId="0" borderId="1" xfId="0" applyFont="1" applyFill="1" applyBorder="1"/>
    <xf numFmtId="14" fontId="67" fillId="0" borderId="1" xfId="0" applyNumberFormat="1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left"/>
    </xf>
    <xf numFmtId="1" fontId="66" fillId="0" borderId="1" xfId="0" applyNumberFormat="1" applyFont="1" applyFill="1" applyBorder="1"/>
    <xf numFmtId="49" fontId="67" fillId="0" borderId="1" xfId="0" applyNumberFormat="1" applyFont="1" applyFill="1" applyBorder="1" applyAlignment="1">
      <alignment horizontal="left"/>
    </xf>
    <xf numFmtId="49" fontId="67" fillId="0" borderId="2" xfId="0" applyNumberFormat="1" applyFont="1" applyFill="1" applyBorder="1" applyAlignment="1">
      <alignment horizontal="left"/>
    </xf>
    <xf numFmtId="14" fontId="67" fillId="0" borderId="5" xfId="0" applyNumberFormat="1" applyFont="1" applyFill="1" applyBorder="1" applyAlignment="1">
      <alignment horizontal="center"/>
    </xf>
    <xf numFmtId="0" fontId="67" fillId="0" borderId="2" xfId="0" applyFont="1" applyFill="1" applyBorder="1" applyAlignment="1">
      <alignment horizontal="center"/>
    </xf>
    <xf numFmtId="0" fontId="67" fillId="0" borderId="1" xfId="0" applyFont="1" applyFill="1" applyBorder="1" applyAlignment="1">
      <alignment horizontal="right"/>
    </xf>
    <xf numFmtId="2" fontId="67" fillId="0" borderId="1" xfId="0" applyNumberFormat="1" applyFont="1" applyFill="1" applyBorder="1"/>
    <xf numFmtId="2" fontId="67" fillId="0" borderId="2" xfId="0" applyNumberFormat="1" applyFont="1" applyFill="1" applyBorder="1" applyAlignment="1">
      <alignment horizontal="center"/>
    </xf>
    <xf numFmtId="2" fontId="67" fillId="0" borderId="1" xfId="0" applyNumberFormat="1" applyFont="1" applyFill="1" applyBorder="1" applyAlignment="1">
      <alignment horizontal="center"/>
    </xf>
    <xf numFmtId="164" fontId="67" fillId="0" borderId="1" xfId="0" applyNumberFormat="1" applyFont="1" applyFill="1" applyBorder="1" applyAlignment="1">
      <alignment horizontal="center"/>
    </xf>
    <xf numFmtId="3" fontId="67" fillId="0" borderId="1" xfId="0" applyNumberFormat="1" applyFont="1" applyFill="1" applyBorder="1"/>
    <xf numFmtId="2" fontId="67" fillId="0" borderId="1" xfId="0" applyNumberFormat="1" applyFont="1" applyFill="1" applyBorder="1" applyAlignment="1">
      <alignment horizontal="right"/>
    </xf>
    <xf numFmtId="2" fontId="66" fillId="0" borderId="1" xfId="0" applyNumberFormat="1" applyFont="1" applyFill="1" applyBorder="1"/>
    <xf numFmtId="14" fontId="70" fillId="0" borderId="1" xfId="0" applyNumberFormat="1" applyFont="1" applyFill="1" applyBorder="1" applyAlignment="1">
      <alignment horizontal="center"/>
    </xf>
    <xf numFmtId="2" fontId="67" fillId="0" borderId="1" xfId="0" applyNumberFormat="1" applyFont="1" applyFill="1" applyBorder="1" applyAlignment="1">
      <alignment horizontal="left"/>
    </xf>
    <xf numFmtId="49" fontId="67" fillId="0" borderId="2" xfId="0" applyNumberFormat="1" applyFont="1" applyFill="1" applyBorder="1"/>
    <xf numFmtId="0" fontId="71" fillId="0" borderId="0" xfId="0" applyFont="1" applyFill="1"/>
    <xf numFmtId="1" fontId="67" fillId="0" borderId="5" xfId="0" applyNumberFormat="1" applyFont="1" applyFill="1" applyBorder="1"/>
    <xf numFmtId="2" fontId="71" fillId="0" borderId="1" xfId="2" applyNumberFormat="1" applyFont="1" applyFill="1" applyBorder="1"/>
    <xf numFmtId="1" fontId="72" fillId="0" borderId="1" xfId="1" applyNumberFormat="1" applyFont="1" applyFill="1" applyBorder="1" applyAlignment="1" applyProtection="1"/>
    <xf numFmtId="49" fontId="67" fillId="0" borderId="0" xfId="0" applyNumberFormat="1" applyFont="1" applyFill="1"/>
    <xf numFmtId="0" fontId="71" fillId="0" borderId="0" xfId="0" applyFont="1" applyFill="1" applyAlignment="1">
      <alignment horizontal="center" vertical="center"/>
    </xf>
    <xf numFmtId="0" fontId="67" fillId="0" borderId="0" xfId="0" applyFont="1" applyFill="1"/>
    <xf numFmtId="49" fontId="67" fillId="0" borderId="0" xfId="0" applyNumberFormat="1" applyFont="1" applyFill="1" applyAlignment="1">
      <alignment horizontal="left"/>
    </xf>
    <xf numFmtId="49" fontId="67" fillId="0" borderId="13" xfId="0" applyNumberFormat="1" applyFont="1" applyFill="1" applyBorder="1"/>
    <xf numFmtId="49" fontId="71" fillId="0" borderId="1" xfId="0" applyNumberFormat="1" applyFont="1" applyFill="1" applyBorder="1" applyAlignment="1">
      <alignment horizontal="left"/>
    </xf>
    <xf numFmtId="0" fontId="71" fillId="0" borderId="2" xfId="0" applyFont="1" applyFill="1" applyBorder="1"/>
    <xf numFmtId="0" fontId="71" fillId="0" borderId="5" xfId="0" applyFont="1" applyFill="1" applyBorder="1"/>
    <xf numFmtId="1" fontId="67" fillId="0" borderId="0" xfId="0" applyNumberFormat="1" applyFont="1" applyFill="1"/>
    <xf numFmtId="0" fontId="67" fillId="0" borderId="3" xfId="0" applyFont="1" applyFill="1" applyBorder="1" applyAlignment="1">
      <alignment horizontal="center"/>
    </xf>
    <xf numFmtId="165" fontId="67" fillId="0" borderId="3" xfId="0" applyNumberFormat="1" applyFont="1" applyFill="1" applyBorder="1" applyAlignment="1">
      <alignment horizontal="center"/>
    </xf>
    <xf numFmtId="1" fontId="67" fillId="0" borderId="3" xfId="0" applyNumberFormat="1" applyFont="1" applyFill="1" applyBorder="1"/>
    <xf numFmtId="0" fontId="73" fillId="0" borderId="1" xfId="0" applyFont="1" applyFill="1" applyBorder="1" applyAlignment="1">
      <alignment vertical="center"/>
    </xf>
    <xf numFmtId="49" fontId="67" fillId="0" borderId="1" xfId="0" applyNumberFormat="1" applyFont="1" applyFill="1" applyBorder="1"/>
    <xf numFmtId="2" fontId="67" fillId="0" borderId="1" xfId="2" applyNumberFormat="1" applyFont="1" applyFill="1" applyBorder="1" applyAlignment="1">
      <alignment horizontal="center"/>
    </xf>
    <xf numFmtId="2" fontId="67" fillId="0" borderId="1" xfId="2" applyNumberFormat="1" applyFont="1" applyFill="1" applyBorder="1" applyAlignment="1">
      <alignment horizontal="right"/>
    </xf>
    <xf numFmtId="2" fontId="74" fillId="0" borderId="1" xfId="0" applyNumberFormat="1" applyFont="1" applyFill="1" applyBorder="1" applyAlignment="1">
      <alignment horizontal="left"/>
    </xf>
    <xf numFmtId="49" fontId="67" fillId="0" borderId="2" xfId="0" applyNumberFormat="1" applyFont="1" applyFill="1" applyBorder="1" applyAlignment="1">
      <alignment horizontal="center"/>
    </xf>
    <xf numFmtId="0" fontId="75" fillId="0" borderId="2" xfId="0" applyFont="1" applyFill="1" applyBorder="1"/>
    <xf numFmtId="0" fontId="67" fillId="0" borderId="14" xfId="0" applyFont="1" applyFill="1" applyBorder="1" applyAlignment="1">
      <alignment horizontal="center"/>
    </xf>
    <xf numFmtId="0" fontId="67" fillId="0" borderId="2" xfId="0" applyFont="1" applyFill="1" applyBorder="1"/>
    <xf numFmtId="1" fontId="76" fillId="0" borderId="1" xfId="0" applyNumberFormat="1" applyFont="1" applyFill="1" applyBorder="1"/>
    <xf numFmtId="0" fontId="67" fillId="0" borderId="0" xfId="0" applyFont="1" applyFill="1" applyAlignment="1">
      <alignment horizontal="center"/>
    </xf>
    <xf numFmtId="2" fontId="67" fillId="0" borderId="1" xfId="0" applyNumberFormat="1" applyFont="1" applyFill="1" applyBorder="1" applyAlignment="1">
      <alignment horizontal="left" wrapText="1"/>
    </xf>
    <xf numFmtId="1" fontId="74" fillId="0" borderId="1" xfId="0" applyNumberFormat="1" applyFont="1" applyFill="1" applyBorder="1"/>
    <xf numFmtId="0" fontId="67" fillId="0" borderId="10" xfId="0" applyFont="1" applyFill="1" applyBorder="1" applyAlignment="1">
      <alignment horizontal="center"/>
    </xf>
    <xf numFmtId="165" fontId="67" fillId="0" borderId="10" xfId="0" applyNumberFormat="1" applyFont="1" applyFill="1" applyBorder="1" applyAlignment="1">
      <alignment horizontal="center"/>
    </xf>
    <xf numFmtId="1" fontId="67" fillId="0" borderId="10" xfId="0" applyNumberFormat="1" applyFont="1" applyFill="1" applyBorder="1"/>
    <xf numFmtId="0" fontId="67" fillId="0" borderId="10" xfId="0" applyFont="1" applyFill="1" applyBorder="1"/>
    <xf numFmtId="14" fontId="67" fillId="0" borderId="10" xfId="0" applyNumberFormat="1" applyFont="1" applyFill="1" applyBorder="1" applyAlignment="1">
      <alignment horizontal="center"/>
    </xf>
    <xf numFmtId="1" fontId="66" fillId="0" borderId="10" xfId="0" applyNumberFormat="1" applyFont="1" applyFill="1" applyBorder="1" applyAlignment="1">
      <alignment horizontal="left"/>
    </xf>
    <xf numFmtId="1" fontId="66" fillId="0" borderId="10" xfId="0" applyNumberFormat="1" applyFont="1" applyFill="1" applyBorder="1"/>
    <xf numFmtId="0" fontId="66" fillId="0" borderId="1" xfId="0" applyFont="1" applyFill="1" applyBorder="1" applyAlignment="1">
      <alignment horizontal="center"/>
    </xf>
    <xf numFmtId="3" fontId="67" fillId="0" borderId="0" xfId="0" applyNumberFormat="1" applyFont="1" applyFill="1"/>
    <xf numFmtId="1" fontId="67" fillId="0" borderId="1" xfId="0" applyNumberFormat="1" applyFont="1" applyFill="1" applyBorder="1" applyAlignment="1">
      <alignment horizontal="center"/>
    </xf>
    <xf numFmtId="49" fontId="67" fillId="0" borderId="4" xfId="0" applyNumberFormat="1" applyFont="1" applyFill="1" applyBorder="1"/>
    <xf numFmtId="0" fontId="67" fillId="0" borderId="4" xfId="0" applyFont="1" applyFill="1" applyBorder="1" applyAlignment="1">
      <alignment horizontal="center"/>
    </xf>
    <xf numFmtId="0" fontId="67" fillId="0" borderId="3" xfId="0" applyFont="1" applyFill="1" applyBorder="1"/>
    <xf numFmtId="14" fontId="67" fillId="0" borderId="3" xfId="0" applyNumberFormat="1" applyFont="1" applyFill="1" applyBorder="1" applyAlignment="1">
      <alignment horizontal="center"/>
    </xf>
    <xf numFmtId="1" fontId="66" fillId="0" borderId="3" xfId="0" applyNumberFormat="1" applyFont="1" applyFill="1" applyBorder="1" applyAlignment="1">
      <alignment horizontal="left"/>
    </xf>
    <xf numFmtId="1" fontId="66" fillId="0" borderId="3" xfId="0" applyNumberFormat="1" applyFont="1" applyFill="1" applyBorder="1"/>
    <xf numFmtId="49" fontId="67" fillId="0" borderId="3" xfId="0" applyNumberFormat="1" applyFont="1" applyFill="1" applyBorder="1" applyAlignment="1">
      <alignment horizontal="left"/>
    </xf>
    <xf numFmtId="1" fontId="67" fillId="0" borderId="30" xfId="0" applyNumberFormat="1" applyFont="1" applyFill="1" applyBorder="1" applyAlignment="1">
      <alignment horizontal="left"/>
    </xf>
    <xf numFmtId="14" fontId="67" fillId="0" borderId="30" xfId="0" applyNumberFormat="1" applyFont="1" applyFill="1" applyBorder="1" applyAlignment="1">
      <alignment horizontal="center"/>
    </xf>
    <xf numFmtId="14" fontId="67" fillId="0" borderId="0" xfId="0" applyNumberFormat="1" applyFont="1" applyFill="1" applyAlignment="1">
      <alignment horizontal="center"/>
    </xf>
    <xf numFmtId="3" fontId="77" fillId="0" borderId="1" xfId="0" applyNumberFormat="1" applyFont="1" applyFill="1" applyBorder="1"/>
    <xf numFmtId="0" fontId="66" fillId="0" borderId="1" xfId="0" applyFont="1" applyFill="1" applyBorder="1" applyAlignment="1">
      <alignment horizontal="left"/>
    </xf>
    <xf numFmtId="2" fontId="71" fillId="0" borderId="0" xfId="0" applyNumberFormat="1" applyFont="1" applyFill="1"/>
    <xf numFmtId="0" fontId="67" fillId="0" borderId="17" xfId="0" applyFont="1" applyFill="1" applyBorder="1" applyAlignment="1">
      <alignment horizontal="center"/>
    </xf>
    <xf numFmtId="2" fontId="67" fillId="0" borderId="1" xfId="2" applyNumberFormat="1" applyFont="1" applyFill="1" applyBorder="1" applyAlignment="1">
      <alignment horizontal="right" wrapText="1"/>
    </xf>
    <xf numFmtId="168" fontId="69" fillId="0" borderId="72" xfId="0" applyNumberFormat="1" applyFont="1" applyFill="1" applyBorder="1"/>
    <xf numFmtId="2" fontId="67" fillId="0" borderId="13" xfId="0" applyNumberFormat="1" applyFont="1" applyFill="1" applyBorder="1"/>
    <xf numFmtId="1" fontId="67" fillId="0" borderId="2" xfId="0" applyNumberFormat="1" applyFont="1" applyFill="1" applyBorder="1" applyAlignment="1">
      <alignment horizontal="left"/>
    </xf>
    <xf numFmtId="0" fontId="71" fillId="0" borderId="0" xfId="0" applyFont="1" applyFill="1" applyAlignment="1">
      <alignment horizontal="center"/>
    </xf>
    <xf numFmtId="0" fontId="75" fillId="0" borderId="0" xfId="0" applyFont="1" applyFill="1"/>
    <xf numFmtId="2" fontId="71" fillId="0" borderId="0" xfId="0" applyNumberFormat="1" applyFont="1" applyFill="1" applyAlignment="1">
      <alignment horizontal="right"/>
    </xf>
    <xf numFmtId="0" fontId="78" fillId="0" borderId="0" xfId="0" applyFont="1" applyFill="1"/>
    <xf numFmtId="0" fontId="77" fillId="0" borderId="0" xfId="0" applyFont="1" applyFill="1" applyAlignment="1">
      <alignment horizontal="center"/>
    </xf>
    <xf numFmtId="0" fontId="79" fillId="0" borderId="0" xfId="0" applyFont="1" applyFill="1"/>
    <xf numFmtId="0" fontId="80" fillId="0" borderId="0" xfId="0" applyFont="1" applyFill="1"/>
    <xf numFmtId="0" fontId="81" fillId="0" borderId="0" xfId="0" applyFont="1" applyFill="1" applyAlignment="1">
      <alignment horizontal="center"/>
    </xf>
    <xf numFmtId="0" fontId="68" fillId="0" borderId="8" xfId="0" applyFont="1" applyFill="1" applyBorder="1" applyAlignment="1">
      <alignment horizontal="center"/>
    </xf>
    <xf numFmtId="0" fontId="68" fillId="0" borderId="0" xfId="0" applyFont="1" applyFill="1" applyAlignment="1">
      <alignment horizontal="center"/>
    </xf>
    <xf numFmtId="2" fontId="67" fillId="0" borderId="0" xfId="0" applyNumberFormat="1" applyFont="1" applyFill="1"/>
    <xf numFmtId="2" fontId="67" fillId="0" borderId="0" xfId="0" applyNumberFormat="1" applyFont="1" applyFill="1" applyAlignment="1">
      <alignment horizontal="center"/>
    </xf>
    <xf numFmtId="2" fontId="70" fillId="0" borderId="0" xfId="0" applyNumberFormat="1" applyFont="1" applyFill="1"/>
    <xf numFmtId="3" fontId="70" fillId="0" borderId="0" xfId="0" applyNumberFormat="1" applyFont="1" applyFill="1"/>
    <xf numFmtId="1" fontId="72" fillId="0" borderId="8" xfId="1" applyNumberFormat="1" applyFont="1" applyFill="1" applyBorder="1" applyAlignment="1" applyProtection="1"/>
    <xf numFmtId="1" fontId="72" fillId="0" borderId="0" xfId="1" applyNumberFormat="1" applyFont="1" applyFill="1" applyBorder="1" applyAlignment="1" applyProtection="1"/>
    <xf numFmtId="1" fontId="66" fillId="0" borderId="0" xfId="0" applyNumberFormat="1" applyFont="1" applyFill="1"/>
    <xf numFmtId="166" fontId="67" fillId="0" borderId="0" xfId="0" applyNumberFormat="1" applyFont="1" applyFill="1" applyAlignment="1">
      <alignment horizontal="center"/>
    </xf>
    <xf numFmtId="0" fontId="66" fillId="0" borderId="0" xfId="0" applyFont="1" applyFill="1" applyAlignment="1">
      <alignment horizontal="center"/>
    </xf>
    <xf numFmtId="0" fontId="69" fillId="0" borderId="8" xfId="0" applyFont="1" applyFill="1" applyBorder="1"/>
    <xf numFmtId="0" fontId="67" fillId="0" borderId="8" xfId="0" applyFont="1" applyFill="1" applyBorder="1"/>
    <xf numFmtId="2" fontId="66" fillId="0" borderId="0" xfId="0" applyNumberFormat="1" applyFont="1" applyFill="1" applyAlignment="1">
      <alignment horizontal="center"/>
    </xf>
    <xf numFmtId="166" fontId="66" fillId="0" borderId="0" xfId="0" applyNumberFormat="1" applyFont="1" applyFill="1" applyAlignment="1">
      <alignment horizontal="center"/>
    </xf>
    <xf numFmtId="0" fontId="67" fillId="0" borderId="0" xfId="0" applyFont="1" applyFill="1" applyAlignment="1">
      <alignment horizontal="left"/>
    </xf>
    <xf numFmtId="2" fontId="74" fillId="0" borderId="1" xfId="0" applyNumberFormat="1" applyFont="1" applyFill="1" applyBorder="1" applyAlignment="1">
      <alignment horizontal="right"/>
    </xf>
    <xf numFmtId="2" fontId="83" fillId="0" borderId="1" xfId="0" applyNumberFormat="1" applyFont="1" applyFill="1" applyBorder="1" applyAlignment="1">
      <alignment horizontal="right"/>
    </xf>
    <xf numFmtId="2" fontId="67" fillId="0" borderId="10" xfId="0" applyNumberFormat="1" applyFont="1" applyFill="1" applyBorder="1" applyAlignment="1">
      <alignment horizontal="center"/>
    </xf>
    <xf numFmtId="1" fontId="81" fillId="0" borderId="0" xfId="0" applyNumberFormat="1" applyFont="1" applyFill="1" applyAlignment="1">
      <alignment horizontal="left"/>
    </xf>
    <xf numFmtId="2" fontId="84" fillId="0" borderId="24" xfId="0" applyNumberFormat="1" applyFont="1" applyFill="1" applyBorder="1"/>
    <xf numFmtId="1" fontId="83" fillId="0" borderId="34" xfId="0" applyNumberFormat="1" applyFont="1" applyFill="1" applyBorder="1" applyAlignment="1">
      <alignment horizontal="center"/>
    </xf>
    <xf numFmtId="0" fontId="67" fillId="0" borderId="5" xfId="0" applyFont="1" applyFill="1" applyBorder="1" applyAlignment="1">
      <alignment horizontal="center"/>
    </xf>
    <xf numFmtId="2" fontId="67" fillId="0" borderId="3" xfId="0" applyNumberFormat="1" applyFont="1" applyFill="1" applyBorder="1"/>
    <xf numFmtId="2" fontId="66" fillId="0" borderId="1" xfId="0" applyNumberFormat="1" applyFont="1" applyFill="1" applyBorder="1" applyAlignment="1">
      <alignment horizontal="center"/>
    </xf>
    <xf numFmtId="0" fontId="68" fillId="0" borderId="8" xfId="0" applyFont="1" applyFill="1" applyBorder="1" applyAlignment="1">
      <alignment horizontal="left"/>
    </xf>
    <xf numFmtId="0" fontId="68" fillId="0" borderId="0" xfId="0" applyFont="1" applyFill="1" applyAlignment="1">
      <alignment horizontal="left"/>
    </xf>
    <xf numFmtId="2" fontId="66" fillId="0" borderId="0" xfId="0" applyNumberFormat="1" applyFont="1" applyFill="1"/>
    <xf numFmtId="2" fontId="67" fillId="0" borderId="10" xfId="0" applyNumberFormat="1" applyFont="1" applyFill="1" applyBorder="1"/>
    <xf numFmtId="2" fontId="66" fillId="0" borderId="10" xfId="0" applyNumberFormat="1" applyFont="1" applyFill="1" applyBorder="1" applyAlignment="1">
      <alignment horizontal="center"/>
    </xf>
    <xf numFmtId="0" fontId="81" fillId="0" borderId="41" xfId="0" applyFont="1" applyFill="1" applyBorder="1" applyAlignment="1">
      <alignment horizontal="left"/>
    </xf>
    <xf numFmtId="0" fontId="81" fillId="0" borderId="42" xfId="0" applyFont="1" applyFill="1" applyBorder="1" applyAlignment="1">
      <alignment horizontal="left"/>
    </xf>
    <xf numFmtId="2" fontId="67" fillId="0" borderId="42" xfId="0" applyNumberFormat="1" applyFont="1" applyFill="1" applyBorder="1"/>
    <xf numFmtId="2" fontId="67" fillId="0" borderId="36" xfId="0" applyNumberFormat="1" applyFont="1" applyFill="1" applyBorder="1"/>
    <xf numFmtId="2" fontId="67" fillId="0" borderId="36" xfId="0" applyNumberFormat="1" applyFont="1" applyFill="1" applyBorder="1" applyAlignment="1">
      <alignment horizontal="center"/>
    </xf>
    <xf numFmtId="0" fontId="67" fillId="0" borderId="42" xfId="0" applyFont="1" applyFill="1" applyBorder="1" applyAlignment="1">
      <alignment horizontal="left"/>
    </xf>
    <xf numFmtId="0" fontId="67" fillId="0" borderId="42" xfId="0" applyFont="1" applyFill="1" applyBorder="1" applyAlignment="1">
      <alignment horizontal="center"/>
    </xf>
    <xf numFmtId="0" fontId="71" fillId="0" borderId="42" xfId="0" applyFont="1" applyFill="1" applyBorder="1"/>
    <xf numFmtId="0" fontId="81" fillId="0" borderId="8" xfId="0" applyFont="1" applyFill="1" applyBorder="1" applyAlignment="1">
      <alignment horizontal="center"/>
    </xf>
    <xf numFmtId="44" fontId="67" fillId="0" borderId="3" xfId="2" applyFont="1" applyFill="1" applyBorder="1" applyAlignment="1">
      <alignment horizontal="center"/>
    </xf>
    <xf numFmtId="0" fontId="66" fillId="0" borderId="0" xfId="0" applyFont="1" applyFill="1" applyAlignment="1">
      <alignment horizontal="left"/>
    </xf>
    <xf numFmtId="2" fontId="67" fillId="0" borderId="0" xfId="0" applyNumberFormat="1" applyFont="1" applyFill="1" applyAlignment="1">
      <alignment horizontal="right"/>
    </xf>
    <xf numFmtId="44" fontId="71" fillId="0" borderId="0" xfId="2" applyFont="1" applyFill="1"/>
    <xf numFmtId="2" fontId="67" fillId="0" borderId="2" xfId="0" applyNumberFormat="1" applyFont="1" applyFill="1" applyBorder="1" applyAlignment="1">
      <alignment horizontal="right"/>
    </xf>
    <xf numFmtId="2" fontId="67" fillId="0" borderId="20" xfId="0" applyNumberFormat="1" applyFont="1" applyFill="1" applyBorder="1" applyAlignment="1">
      <alignment horizontal="center"/>
    </xf>
    <xf numFmtId="2" fontId="67" fillId="0" borderId="24" xfId="0" applyNumberFormat="1" applyFont="1" applyFill="1" applyBorder="1" applyAlignment="1">
      <alignment horizontal="center"/>
    </xf>
    <xf numFmtId="2" fontId="67" fillId="0" borderId="18" xfId="0" applyNumberFormat="1" applyFont="1" applyFill="1" applyBorder="1" applyAlignment="1">
      <alignment horizontal="center"/>
    </xf>
    <xf numFmtId="0" fontId="67" fillId="0" borderId="26" xfId="0" applyFont="1" applyFill="1" applyBorder="1" applyAlignment="1">
      <alignment horizontal="left"/>
    </xf>
    <xf numFmtId="0" fontId="67" fillId="0" borderId="26" xfId="0" applyFont="1" applyFill="1" applyBorder="1" applyAlignment="1">
      <alignment horizontal="center"/>
    </xf>
    <xf numFmtId="0" fontId="71" fillId="0" borderId="26" xfId="0" applyFont="1" applyFill="1" applyBorder="1"/>
    <xf numFmtId="0" fontId="71" fillId="0" borderId="23" xfId="0" applyFont="1" applyFill="1" applyBorder="1"/>
    <xf numFmtId="2" fontId="66" fillId="0" borderId="8" xfId="0" applyNumberFormat="1" applyFont="1" applyFill="1" applyBorder="1"/>
    <xf numFmtId="4" fontId="66" fillId="0" borderId="3" xfId="0" applyNumberFormat="1" applyFont="1" applyFill="1" applyBorder="1" applyAlignment="1">
      <alignment horizontal="right" vertical="center" wrapText="1"/>
    </xf>
    <xf numFmtId="2" fontId="67" fillId="0" borderId="3" xfId="0" applyNumberFormat="1" applyFont="1" applyFill="1" applyBorder="1" applyAlignment="1">
      <alignment horizontal="center"/>
    </xf>
    <xf numFmtId="0" fontId="85" fillId="0" borderId="0" xfId="0" applyFont="1" applyFill="1" applyAlignment="1">
      <alignment horizontal="center"/>
    </xf>
    <xf numFmtId="166" fontId="67" fillId="0" borderId="1" xfId="0" applyNumberFormat="1" applyFont="1" applyFill="1" applyBorder="1" applyAlignment="1">
      <alignment horizontal="center"/>
    </xf>
    <xf numFmtId="0" fontId="70" fillId="0" borderId="0" xfId="0" applyFont="1" applyFill="1"/>
    <xf numFmtId="0" fontId="68" fillId="0" borderId="8" xfId="0" applyFont="1" applyFill="1" applyBorder="1" applyAlignment="1">
      <alignment horizontal="right"/>
    </xf>
    <xf numFmtId="0" fontId="68" fillId="0" borderId="0" xfId="0" applyFont="1" applyFill="1" applyAlignment="1">
      <alignment horizontal="right"/>
    </xf>
    <xf numFmtId="4" fontId="66" fillId="0" borderId="1" xfId="0" applyNumberFormat="1" applyFont="1" applyFill="1" applyBorder="1" applyAlignment="1">
      <alignment vertical="center" wrapText="1"/>
    </xf>
    <xf numFmtId="49" fontId="71" fillId="0" borderId="0" xfId="0" applyNumberFormat="1" applyFont="1" applyFill="1"/>
    <xf numFmtId="0" fontId="69" fillId="0" borderId="11" xfId="0" applyFont="1" applyFill="1" applyBorder="1"/>
    <xf numFmtId="0" fontId="69" fillId="0" borderId="6" xfId="0" applyFont="1" applyFill="1" applyBorder="1"/>
    <xf numFmtId="0" fontId="71" fillId="0" borderId="6" xfId="0" applyFont="1" applyFill="1" applyBorder="1"/>
    <xf numFmtId="164" fontId="67" fillId="0" borderId="2" xfId="0" applyNumberFormat="1" applyFont="1" applyFill="1" applyBorder="1" applyAlignment="1">
      <alignment horizontal="center"/>
    </xf>
    <xf numFmtId="164" fontId="81" fillId="0" borderId="0" xfId="0" applyNumberFormat="1" applyFont="1" applyFill="1" applyAlignment="1">
      <alignment horizontal="center"/>
    </xf>
    <xf numFmtId="164" fontId="67" fillId="0" borderId="0" xfId="0" applyNumberFormat="1" applyFont="1" applyFill="1" applyAlignment="1">
      <alignment horizontal="center"/>
    </xf>
    <xf numFmtId="164" fontId="69" fillId="0" borderId="0" xfId="0" applyNumberFormat="1" applyFont="1" applyFill="1" applyAlignment="1">
      <alignment horizontal="center"/>
    </xf>
    <xf numFmtId="164" fontId="71" fillId="0" borderId="0" xfId="0" applyNumberFormat="1" applyFont="1" applyFill="1" applyAlignment="1">
      <alignment horizontal="center"/>
    </xf>
  </cellXfs>
  <cellStyles count="3">
    <cellStyle name="Link" xfId="1" builtinId="8"/>
    <cellStyle name="Standard" xfId="0" builtinId="0"/>
    <cellStyle name="Währung" xfId="2" builtinId="4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4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rgb="FFFF9B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FF9BCD"/>
      <color rgb="FFE2FFC5"/>
      <color rgb="FF00FF00"/>
      <color rgb="FF85FF85"/>
      <color rgb="FFFF66FF"/>
      <color rgb="FFABFFAB"/>
      <color rgb="FF008000"/>
      <color rgb="FF5EE46B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bine Metzger" id="{B4316ECE-9F91-42FB-88F1-ACEA76850B3A}" userId="bf6153271c571107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55" dT="2020-07-12T13:43:05.26" personId="{B4316ECE-9F91-42FB-88F1-ACEA76850B3A}" id="{45E6E618-D9B4-4E2B-A191-5A171143801E}">
    <text>lt. Mail vom 6.7.2020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nne@suphan.de" TargetMode="External"/><Relationship Id="rId21" Type="http://schemas.openxmlformats.org/officeDocument/2006/relationships/hyperlink" Target="mailto:mostafarasuli57@gmail.com" TargetMode="External"/><Relationship Id="rId34" Type="http://schemas.openxmlformats.org/officeDocument/2006/relationships/hyperlink" Target="mailto:verena.coerlin@posteo.de" TargetMode="External"/><Relationship Id="rId42" Type="http://schemas.openxmlformats.org/officeDocument/2006/relationships/hyperlink" Target="mailto:schtze52-stuttgart@web.de" TargetMode="External"/><Relationship Id="rId47" Type="http://schemas.openxmlformats.org/officeDocument/2006/relationships/hyperlink" Target="mailto:kay.klokowski@me.com" TargetMode="External"/><Relationship Id="rId50" Type="http://schemas.openxmlformats.org/officeDocument/2006/relationships/hyperlink" Target="mailto:sul.knorr@t-online.de" TargetMode="External"/><Relationship Id="rId55" Type="http://schemas.openxmlformats.org/officeDocument/2006/relationships/hyperlink" Target="mailto:katharina_brand@gmx.net" TargetMode="External"/><Relationship Id="rId63" Type="http://schemas.openxmlformats.org/officeDocument/2006/relationships/hyperlink" Target="mailto:gabi.bentrup@t-online.de" TargetMode="External"/><Relationship Id="rId7" Type="http://schemas.openxmlformats.org/officeDocument/2006/relationships/hyperlink" Target="mailto:sara-sobral-15@hotmail.de" TargetMode="External"/><Relationship Id="rId2" Type="http://schemas.openxmlformats.org/officeDocument/2006/relationships/hyperlink" Target="mailto:rudolf.hergesell@arcor.de" TargetMode="External"/><Relationship Id="rId16" Type="http://schemas.openxmlformats.org/officeDocument/2006/relationships/hyperlink" Target="mailto:yordan.balabanov@gmail.com" TargetMode="External"/><Relationship Id="rId29" Type="http://schemas.openxmlformats.org/officeDocument/2006/relationships/hyperlink" Target="mailto:mail@sonja-theissen.de" TargetMode="External"/><Relationship Id="rId11" Type="http://schemas.openxmlformats.org/officeDocument/2006/relationships/hyperlink" Target="mailto:alex.schroe@me.com" TargetMode="External"/><Relationship Id="rId24" Type="http://schemas.openxmlformats.org/officeDocument/2006/relationships/hyperlink" Target="mailto:holger.eichhorn@gmail.com" TargetMode="External"/><Relationship Id="rId32" Type="http://schemas.openxmlformats.org/officeDocument/2006/relationships/hyperlink" Target="mailto:ute.zeller@stuttgart.de" TargetMode="External"/><Relationship Id="rId37" Type="http://schemas.openxmlformats.org/officeDocument/2006/relationships/hyperlink" Target="mailto:anticevicanita@gmail.com" TargetMode="External"/><Relationship Id="rId40" Type="http://schemas.openxmlformats.org/officeDocument/2006/relationships/hyperlink" Target="mailto:mail@sascha-theissen.de" TargetMode="External"/><Relationship Id="rId45" Type="http://schemas.openxmlformats.org/officeDocument/2006/relationships/hyperlink" Target="mailto:h.oedes@gmx.de" TargetMode="External"/><Relationship Id="rId53" Type="http://schemas.openxmlformats.org/officeDocument/2006/relationships/hyperlink" Target="mailto:temiz50@gmail.com" TargetMode="External"/><Relationship Id="rId58" Type="http://schemas.openxmlformats.org/officeDocument/2006/relationships/hyperlink" Target="mailto:tomaszweidler@yahoo.com" TargetMode="External"/><Relationship Id="rId66" Type="http://schemas.openxmlformats.org/officeDocument/2006/relationships/vmlDrawing" Target="../drawings/vmlDrawing1.vml"/><Relationship Id="rId5" Type="http://schemas.openxmlformats.org/officeDocument/2006/relationships/hyperlink" Target="mailto:dani.pal@outlook.de" TargetMode="External"/><Relationship Id="rId61" Type="http://schemas.openxmlformats.org/officeDocument/2006/relationships/hyperlink" Target="mailto:aschuetz78@web.de" TargetMode="External"/><Relationship Id="rId19" Type="http://schemas.openxmlformats.org/officeDocument/2006/relationships/hyperlink" Target="mailto:bairemde@Yahoo.com" TargetMode="External"/><Relationship Id="rId14" Type="http://schemas.openxmlformats.org/officeDocument/2006/relationships/hyperlink" Target="mailto:olga-gerber@gmx.de" TargetMode="External"/><Relationship Id="rId22" Type="http://schemas.openxmlformats.org/officeDocument/2006/relationships/hyperlink" Target="mailto:bakurewitsch@outlook.de" TargetMode="External"/><Relationship Id="rId27" Type="http://schemas.openxmlformats.org/officeDocument/2006/relationships/hyperlink" Target="mailto:morczinski@t-online.de" TargetMode="External"/><Relationship Id="rId30" Type="http://schemas.openxmlformats.org/officeDocument/2006/relationships/hyperlink" Target="mailto:dome76@live.de" TargetMode="External"/><Relationship Id="rId35" Type="http://schemas.openxmlformats.org/officeDocument/2006/relationships/hyperlink" Target="mailto:hirrlehanna@web.de" TargetMode="External"/><Relationship Id="rId43" Type="http://schemas.openxmlformats.org/officeDocument/2006/relationships/hyperlink" Target="mailto:anke_berg@gmx.de" TargetMode="External"/><Relationship Id="rId48" Type="http://schemas.openxmlformats.org/officeDocument/2006/relationships/hyperlink" Target="mailto:e.strack@gmx.net" TargetMode="External"/><Relationship Id="rId56" Type="http://schemas.openxmlformats.org/officeDocument/2006/relationships/hyperlink" Target="mailto:feruck@gmx.net" TargetMode="External"/><Relationship Id="rId64" Type="http://schemas.openxmlformats.org/officeDocument/2006/relationships/hyperlink" Target="mailto:T_Goeldner@gmx.de" TargetMode="External"/><Relationship Id="rId8" Type="http://schemas.openxmlformats.org/officeDocument/2006/relationships/hyperlink" Target="mailto:albrecht.pfaff@t-online.de" TargetMode="External"/><Relationship Id="rId51" Type="http://schemas.openxmlformats.org/officeDocument/2006/relationships/hyperlink" Target="mailto:duygu_d@live.de" TargetMode="External"/><Relationship Id="rId3" Type="http://schemas.openxmlformats.org/officeDocument/2006/relationships/hyperlink" Target="mailto:muge-kolso@hotmail.de" TargetMode="External"/><Relationship Id="rId12" Type="http://schemas.openxmlformats.org/officeDocument/2006/relationships/hyperlink" Target="mailto:raabe.roman@googlemail.com" TargetMode="External"/><Relationship Id="rId17" Type="http://schemas.openxmlformats.org/officeDocument/2006/relationships/hyperlink" Target="mailto:polatemine@hotmail.com" TargetMode="External"/><Relationship Id="rId25" Type="http://schemas.openxmlformats.org/officeDocument/2006/relationships/hyperlink" Target="mailto:ingrid-kaufmann@hotmail.com" TargetMode="External"/><Relationship Id="rId33" Type="http://schemas.openxmlformats.org/officeDocument/2006/relationships/hyperlink" Target="mailto:info@die3buchwalds.de" TargetMode="External"/><Relationship Id="rId38" Type="http://schemas.openxmlformats.org/officeDocument/2006/relationships/hyperlink" Target="mailto:jswollmann@gmx.de" TargetMode="External"/><Relationship Id="rId46" Type="http://schemas.openxmlformats.org/officeDocument/2006/relationships/hyperlink" Target="mailto:melbraun@gmx.de" TargetMode="External"/><Relationship Id="rId59" Type="http://schemas.openxmlformats.org/officeDocument/2006/relationships/hyperlink" Target="mailto:spahic.naida94@gmail.com" TargetMode="External"/><Relationship Id="rId67" Type="http://schemas.openxmlformats.org/officeDocument/2006/relationships/comments" Target="../comments1.xml"/><Relationship Id="rId20" Type="http://schemas.openxmlformats.org/officeDocument/2006/relationships/hyperlink" Target="mailto:janglauche@yahoo.de" TargetMode="External"/><Relationship Id="rId41" Type="http://schemas.openxmlformats.org/officeDocument/2006/relationships/hyperlink" Target="mailto:mkaleja@arcor.de" TargetMode="External"/><Relationship Id="rId54" Type="http://schemas.openxmlformats.org/officeDocument/2006/relationships/hyperlink" Target="mailto:najress1@gmail.com" TargetMode="External"/><Relationship Id="rId62" Type="http://schemas.openxmlformats.org/officeDocument/2006/relationships/hyperlink" Target="mailto:stefanie.manicke@gmx.de" TargetMode="External"/><Relationship Id="rId1" Type="http://schemas.openxmlformats.org/officeDocument/2006/relationships/hyperlink" Target="mailto:eljb@gmx.de" TargetMode="External"/><Relationship Id="rId6" Type="http://schemas.openxmlformats.org/officeDocument/2006/relationships/hyperlink" Target="mailto:c.huelsmann@web.de" TargetMode="External"/><Relationship Id="rId15" Type="http://schemas.openxmlformats.org/officeDocument/2006/relationships/hyperlink" Target="mailto:elviradumler79@gmx.de" TargetMode="External"/><Relationship Id="rId23" Type="http://schemas.openxmlformats.org/officeDocument/2006/relationships/hyperlink" Target="mailto:igorprskalo@gmx.de" TargetMode="External"/><Relationship Id="rId28" Type="http://schemas.openxmlformats.org/officeDocument/2006/relationships/hyperlink" Target="mailto:andreas.o.metzger@gmx.de" TargetMode="External"/><Relationship Id="rId36" Type="http://schemas.openxmlformats.org/officeDocument/2006/relationships/hyperlink" Target="mailto:Stietenroth_Anja@web.de" TargetMode="External"/><Relationship Id="rId49" Type="http://schemas.openxmlformats.org/officeDocument/2006/relationships/hyperlink" Target="mailto:martin.haubner@icloud.com" TargetMode="External"/><Relationship Id="rId57" Type="http://schemas.openxmlformats.org/officeDocument/2006/relationships/hyperlink" Target="mailto:jannis.lid@gmx.de" TargetMode="External"/><Relationship Id="rId10" Type="http://schemas.openxmlformats.org/officeDocument/2006/relationships/hyperlink" Target="mailto:yv.mayer@web.de" TargetMode="External"/><Relationship Id="rId31" Type="http://schemas.openxmlformats.org/officeDocument/2006/relationships/hyperlink" Target="mailto:Ha-Jo.Schmid@gmx.de" TargetMode="External"/><Relationship Id="rId44" Type="http://schemas.openxmlformats.org/officeDocument/2006/relationships/hyperlink" Target="mailto:mike-stuttgart@t-online.de" TargetMode="External"/><Relationship Id="rId52" Type="http://schemas.openxmlformats.org/officeDocument/2006/relationships/hyperlink" Target="mailto:selinahmed50@gmail.com" TargetMode="External"/><Relationship Id="rId60" Type="http://schemas.openxmlformats.org/officeDocument/2006/relationships/hyperlink" Target="mailto:baizid@web.de" TargetMode="External"/><Relationship Id="rId65" Type="http://schemas.openxmlformats.org/officeDocument/2006/relationships/printerSettings" Target="../printerSettings/printerSettings1.bin"/><Relationship Id="rId78" Type="http://schemas.microsoft.com/office/2017/10/relationships/threadedComment" Target="../threadedComments/threadedComment1.xml"/><Relationship Id="rId4" Type="http://schemas.openxmlformats.org/officeDocument/2006/relationships/hyperlink" Target="mailto:mrp88@gmx.de" TargetMode="External"/><Relationship Id="rId9" Type="http://schemas.openxmlformats.org/officeDocument/2006/relationships/hyperlink" Target="mailto:barbara-baehr@t-online.de" TargetMode="External"/><Relationship Id="rId13" Type="http://schemas.openxmlformats.org/officeDocument/2006/relationships/hyperlink" Target="mailto:familie-riekers@o2mail.de" TargetMode="External"/><Relationship Id="rId18" Type="http://schemas.openxmlformats.org/officeDocument/2006/relationships/hyperlink" Target="mailto:tsakalidou@yahoo.de" TargetMode="External"/><Relationship Id="rId39" Type="http://schemas.openxmlformats.org/officeDocument/2006/relationships/hyperlink" Target="mailto:Kristijan.Kavas@gmx.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S186"/>
  <sheetViews>
    <sheetView tabSelected="1" zoomScale="90" zoomScaleNormal="90" zoomScaleSheetLayoutView="90" workbookViewId="0">
      <selection activeCell="BR13" sqref="BR13"/>
    </sheetView>
  </sheetViews>
  <sheetFormatPr baseColWidth="10" defaultRowHeight="21"/>
  <cols>
    <col min="1" max="1" width="5.1640625" style="783" customWidth="1"/>
    <col min="2" max="2" width="5" style="783" customWidth="1"/>
    <col min="3" max="3" width="2.6640625" style="726" customWidth="1"/>
    <col min="4" max="4" width="25.6640625" style="784" bestFit="1" customWidth="1"/>
    <col min="5" max="6" width="13.5" style="703" hidden="1" customWidth="1"/>
    <col min="7" max="7" width="25.33203125" style="703" hidden="1" customWidth="1"/>
    <col min="8" max="10" width="13.5" style="703" hidden="1" customWidth="1"/>
    <col min="11" max="11" width="24.83203125" style="703" hidden="1" customWidth="1"/>
    <col min="12" max="12" width="42.5" style="703" hidden="1" customWidth="1"/>
    <col min="13" max="13" width="11.5" style="703" hidden="1" customWidth="1"/>
    <col min="14" max="16" width="17.83203125" style="703" hidden="1" customWidth="1"/>
    <col min="17" max="17" width="9.1640625" style="752" hidden="1" customWidth="1"/>
    <col min="18" max="18" width="7.33203125" style="726" hidden="1" customWidth="1"/>
    <col min="19" max="19" width="17.83203125" style="703" hidden="1" customWidth="1"/>
    <col min="20" max="20" width="8.5" style="703" hidden="1" customWidth="1"/>
    <col min="21" max="25" width="7" style="726" hidden="1" customWidth="1"/>
    <col min="26" max="26" width="6" style="726" hidden="1" customWidth="1"/>
    <col min="27" max="32" width="7" style="726" hidden="1" customWidth="1"/>
    <col min="33" max="33" width="4.33203125" style="726" hidden="1" customWidth="1"/>
    <col min="34" max="34" width="3.6640625" style="726" hidden="1" customWidth="1"/>
    <col min="35" max="35" width="4.5" style="726" hidden="1" customWidth="1"/>
    <col min="36" max="36" width="9.33203125" style="726" hidden="1" customWidth="1"/>
    <col min="37" max="37" width="6.33203125" style="726" hidden="1" customWidth="1"/>
    <col min="38" max="38" width="11.5" style="726" hidden="1" customWidth="1"/>
    <col min="39" max="39" width="13.33203125" style="703" hidden="1" customWidth="1"/>
    <col min="40" max="40" width="11.5" style="703" hidden="1" customWidth="1"/>
    <col min="41" max="42" width="10.33203125" style="703" hidden="1" customWidth="1"/>
    <col min="43" max="43" width="8" style="703" hidden="1" customWidth="1"/>
    <col min="44" max="44" width="22.5" style="858" customWidth="1"/>
    <col min="45" max="45" width="11.1640625" style="726" hidden="1" customWidth="1"/>
    <col min="46" max="46" width="9.1640625" style="726" hidden="1" customWidth="1"/>
    <col min="47" max="49" width="11.1640625" style="726" hidden="1" customWidth="1"/>
    <col min="50" max="52" width="10.6640625" style="703" hidden="1" customWidth="1"/>
    <col min="53" max="53" width="11.6640625" style="726" hidden="1" customWidth="1"/>
    <col min="54" max="54" width="13.1640625" style="726" hidden="1" customWidth="1"/>
    <col min="55" max="55" width="12.6640625" style="726" hidden="1" customWidth="1"/>
    <col min="56" max="56" width="13.83203125" style="726" hidden="1" customWidth="1"/>
    <col min="57" max="57" width="9.83203125" style="726" hidden="1" customWidth="1"/>
    <col min="58" max="58" width="6.5" style="726" hidden="1" customWidth="1"/>
    <col min="59" max="59" width="6.6640625" style="726" hidden="1" customWidth="1"/>
    <col min="60" max="61" width="8.6640625" style="726" hidden="1" customWidth="1"/>
    <col min="62" max="62" width="8.1640625" style="777" hidden="1" customWidth="1"/>
    <col min="63" max="63" width="18.83203125" style="777" hidden="1" customWidth="1"/>
    <col min="64" max="64" width="9.83203125" style="777" hidden="1" customWidth="1"/>
    <col min="65" max="65" width="9.5" style="785" hidden="1" customWidth="1"/>
    <col min="66" max="66" width="11.5" style="726" hidden="1" customWidth="1"/>
    <col min="67" max="67" width="12.33203125" style="703" hidden="1" customWidth="1"/>
    <col min="68" max="68" width="12" style="703" hidden="1" customWidth="1"/>
    <col min="69" max="69" width="34" style="703" hidden="1" customWidth="1"/>
    <col min="70" max="274" width="10.83203125" style="703"/>
    <col min="275" max="275" width="3.83203125" style="703" bestFit="1" customWidth="1"/>
    <col min="276" max="276" width="4.33203125" style="703" bestFit="1" customWidth="1"/>
    <col min="277" max="277" width="3.33203125" style="703" bestFit="1" customWidth="1"/>
    <col min="278" max="278" width="24.5" style="703" bestFit="1" customWidth="1"/>
    <col min="279" max="280" width="10.83203125" style="703"/>
    <col min="281" max="306" width="0" style="703" hidden="1" customWidth="1"/>
    <col min="307" max="312" width="11.5" style="703" customWidth="1"/>
    <col min="313" max="313" width="13.33203125" style="703" customWidth="1"/>
    <col min="314" max="315" width="11.5" style="703" customWidth="1"/>
    <col min="316" max="316" width="5.5" style="703" customWidth="1"/>
    <col min="317" max="317" width="11.5" style="703" customWidth="1"/>
    <col min="318" max="318" width="7.5" style="703" customWidth="1"/>
    <col min="319" max="319" width="10.33203125" style="703" customWidth="1"/>
    <col min="320" max="320" width="7.5" style="703" customWidth="1"/>
    <col min="321" max="324" width="10.83203125" style="703"/>
    <col min="325" max="325" width="18.83203125" style="703" customWidth="1"/>
    <col min="326" max="530" width="10.83203125" style="703"/>
    <col min="531" max="531" width="3.83203125" style="703" bestFit="1" customWidth="1"/>
    <col min="532" max="532" width="4.33203125" style="703" bestFit="1" customWidth="1"/>
    <col min="533" max="533" width="3.33203125" style="703" bestFit="1" customWidth="1"/>
    <col min="534" max="534" width="24.5" style="703" bestFit="1" customWidth="1"/>
    <col min="535" max="536" width="10.83203125" style="703"/>
    <col min="537" max="562" width="0" style="703" hidden="1" customWidth="1"/>
    <col min="563" max="568" width="11.5" style="703" customWidth="1"/>
    <col min="569" max="569" width="13.33203125" style="703" customWidth="1"/>
    <col min="570" max="571" width="11.5" style="703" customWidth="1"/>
    <col min="572" max="572" width="5.5" style="703" customWidth="1"/>
    <col min="573" max="573" width="11.5" style="703" customWidth="1"/>
    <col min="574" max="574" width="7.5" style="703" customWidth="1"/>
    <col min="575" max="575" width="10.33203125" style="703" customWidth="1"/>
    <col min="576" max="576" width="7.5" style="703" customWidth="1"/>
    <col min="577" max="580" width="10.83203125" style="703"/>
    <col min="581" max="581" width="18.83203125" style="703" customWidth="1"/>
    <col min="582" max="786" width="10.83203125" style="703"/>
    <col min="787" max="787" width="3.83203125" style="703" bestFit="1" customWidth="1"/>
    <col min="788" max="788" width="4.33203125" style="703" bestFit="1" customWidth="1"/>
    <col min="789" max="789" width="3.33203125" style="703" bestFit="1" customWidth="1"/>
    <col min="790" max="790" width="24.5" style="703" bestFit="1" customWidth="1"/>
    <col min="791" max="792" width="10.83203125" style="703"/>
    <col min="793" max="818" width="0" style="703" hidden="1" customWidth="1"/>
    <col min="819" max="824" width="11.5" style="703" customWidth="1"/>
    <col min="825" max="825" width="13.33203125" style="703" customWidth="1"/>
    <col min="826" max="827" width="11.5" style="703" customWidth="1"/>
    <col min="828" max="828" width="5.5" style="703" customWidth="1"/>
    <col min="829" max="829" width="11.5" style="703" customWidth="1"/>
    <col min="830" max="830" width="7.5" style="703" customWidth="1"/>
    <col min="831" max="831" width="10.33203125" style="703" customWidth="1"/>
    <col min="832" max="832" width="7.5" style="703" customWidth="1"/>
    <col min="833" max="836" width="10.83203125" style="703"/>
    <col min="837" max="837" width="18.83203125" style="703" customWidth="1"/>
    <col min="838" max="1042" width="10.83203125" style="703"/>
    <col min="1043" max="1043" width="3.83203125" style="703" bestFit="1" customWidth="1"/>
    <col min="1044" max="1044" width="4.33203125" style="703" bestFit="1" customWidth="1"/>
    <col min="1045" max="1045" width="3.33203125" style="703" bestFit="1" customWidth="1"/>
    <col min="1046" max="1046" width="24.5" style="703" bestFit="1" customWidth="1"/>
    <col min="1047" max="1048" width="10.83203125" style="703"/>
    <col min="1049" max="1074" width="0" style="703" hidden="1" customWidth="1"/>
    <col min="1075" max="1080" width="11.5" style="703" customWidth="1"/>
    <col min="1081" max="1081" width="13.33203125" style="703" customWidth="1"/>
    <col min="1082" max="1083" width="11.5" style="703" customWidth="1"/>
    <col min="1084" max="1084" width="5.5" style="703" customWidth="1"/>
    <col min="1085" max="1085" width="11.5" style="703" customWidth="1"/>
    <col min="1086" max="1086" width="7.5" style="703" customWidth="1"/>
    <col min="1087" max="1087" width="10.33203125" style="703" customWidth="1"/>
    <col min="1088" max="1088" width="7.5" style="703" customWidth="1"/>
    <col min="1089" max="1092" width="10.83203125" style="703"/>
    <col min="1093" max="1093" width="18.83203125" style="703" customWidth="1"/>
    <col min="1094" max="1298" width="10.83203125" style="703"/>
    <col min="1299" max="1299" width="3.83203125" style="703" bestFit="1" customWidth="1"/>
    <col min="1300" max="1300" width="4.33203125" style="703" bestFit="1" customWidth="1"/>
    <col min="1301" max="1301" width="3.33203125" style="703" bestFit="1" customWidth="1"/>
    <col min="1302" max="1302" width="24.5" style="703" bestFit="1" customWidth="1"/>
    <col min="1303" max="1304" width="10.83203125" style="703"/>
    <col min="1305" max="1330" width="0" style="703" hidden="1" customWidth="1"/>
    <col min="1331" max="1336" width="11.5" style="703" customWidth="1"/>
    <col min="1337" max="1337" width="13.33203125" style="703" customWidth="1"/>
    <col min="1338" max="1339" width="11.5" style="703" customWidth="1"/>
    <col min="1340" max="1340" width="5.5" style="703" customWidth="1"/>
    <col min="1341" max="1341" width="11.5" style="703" customWidth="1"/>
    <col min="1342" max="1342" width="7.5" style="703" customWidth="1"/>
    <col min="1343" max="1343" width="10.33203125" style="703" customWidth="1"/>
    <col min="1344" max="1344" width="7.5" style="703" customWidth="1"/>
    <col min="1345" max="1348" width="10.83203125" style="703"/>
    <col min="1349" max="1349" width="18.83203125" style="703" customWidth="1"/>
    <col min="1350" max="1554" width="10.83203125" style="703"/>
    <col min="1555" max="1555" width="3.83203125" style="703" bestFit="1" customWidth="1"/>
    <col min="1556" max="1556" width="4.33203125" style="703" bestFit="1" customWidth="1"/>
    <col min="1557" max="1557" width="3.33203125" style="703" bestFit="1" customWidth="1"/>
    <col min="1558" max="1558" width="24.5" style="703" bestFit="1" customWidth="1"/>
    <col min="1559" max="1560" width="10.83203125" style="703"/>
    <col min="1561" max="1586" width="0" style="703" hidden="1" customWidth="1"/>
    <col min="1587" max="1592" width="11.5" style="703" customWidth="1"/>
    <col min="1593" max="1593" width="13.33203125" style="703" customWidth="1"/>
    <col min="1594" max="1595" width="11.5" style="703" customWidth="1"/>
    <col min="1596" max="1596" width="5.5" style="703" customWidth="1"/>
    <col min="1597" max="1597" width="11.5" style="703" customWidth="1"/>
    <col min="1598" max="1598" width="7.5" style="703" customWidth="1"/>
    <col min="1599" max="1599" width="10.33203125" style="703" customWidth="1"/>
    <col min="1600" max="1600" width="7.5" style="703" customWidth="1"/>
    <col min="1601" max="1604" width="10.83203125" style="703"/>
    <col min="1605" max="1605" width="18.83203125" style="703" customWidth="1"/>
    <col min="1606" max="1810" width="10.83203125" style="703"/>
    <col min="1811" max="1811" width="3.83203125" style="703" bestFit="1" customWidth="1"/>
    <col min="1812" max="1812" width="4.33203125" style="703" bestFit="1" customWidth="1"/>
    <col min="1813" max="1813" width="3.33203125" style="703" bestFit="1" customWidth="1"/>
    <col min="1814" max="1814" width="24.5" style="703" bestFit="1" customWidth="1"/>
    <col min="1815" max="1816" width="10.83203125" style="703"/>
    <col min="1817" max="1842" width="0" style="703" hidden="1" customWidth="1"/>
    <col min="1843" max="1848" width="11.5" style="703" customWidth="1"/>
    <col min="1849" max="1849" width="13.33203125" style="703" customWidth="1"/>
    <col min="1850" max="1851" width="11.5" style="703" customWidth="1"/>
    <col min="1852" max="1852" width="5.5" style="703" customWidth="1"/>
    <col min="1853" max="1853" width="11.5" style="703" customWidth="1"/>
    <col min="1854" max="1854" width="7.5" style="703" customWidth="1"/>
    <col min="1855" max="1855" width="10.33203125" style="703" customWidth="1"/>
    <col min="1856" max="1856" width="7.5" style="703" customWidth="1"/>
    <col min="1857" max="1860" width="10.83203125" style="703"/>
    <col min="1861" max="1861" width="18.83203125" style="703" customWidth="1"/>
    <col min="1862" max="2066" width="10.83203125" style="703"/>
    <col min="2067" max="2067" width="3.83203125" style="703" bestFit="1" customWidth="1"/>
    <col min="2068" max="2068" width="4.33203125" style="703" bestFit="1" customWidth="1"/>
    <col min="2069" max="2069" width="3.33203125" style="703" bestFit="1" customWidth="1"/>
    <col min="2070" max="2070" width="24.5" style="703" bestFit="1" customWidth="1"/>
    <col min="2071" max="2072" width="10.83203125" style="703"/>
    <col min="2073" max="2098" width="0" style="703" hidden="1" customWidth="1"/>
    <col min="2099" max="2104" width="11.5" style="703" customWidth="1"/>
    <col min="2105" max="2105" width="13.33203125" style="703" customWidth="1"/>
    <col min="2106" max="2107" width="11.5" style="703" customWidth="1"/>
    <col min="2108" max="2108" width="5.5" style="703" customWidth="1"/>
    <col min="2109" max="2109" width="11.5" style="703" customWidth="1"/>
    <col min="2110" max="2110" width="7.5" style="703" customWidth="1"/>
    <col min="2111" max="2111" width="10.33203125" style="703" customWidth="1"/>
    <col min="2112" max="2112" width="7.5" style="703" customWidth="1"/>
    <col min="2113" max="2116" width="10.83203125" style="703"/>
    <col min="2117" max="2117" width="18.83203125" style="703" customWidth="1"/>
    <col min="2118" max="2322" width="10.83203125" style="703"/>
    <col min="2323" max="2323" width="3.83203125" style="703" bestFit="1" customWidth="1"/>
    <col min="2324" max="2324" width="4.33203125" style="703" bestFit="1" customWidth="1"/>
    <col min="2325" max="2325" width="3.33203125" style="703" bestFit="1" customWidth="1"/>
    <col min="2326" max="2326" width="24.5" style="703" bestFit="1" customWidth="1"/>
    <col min="2327" max="2328" width="10.83203125" style="703"/>
    <col min="2329" max="2354" width="0" style="703" hidden="1" customWidth="1"/>
    <col min="2355" max="2360" width="11.5" style="703" customWidth="1"/>
    <col min="2361" max="2361" width="13.33203125" style="703" customWidth="1"/>
    <col min="2362" max="2363" width="11.5" style="703" customWidth="1"/>
    <col min="2364" max="2364" width="5.5" style="703" customWidth="1"/>
    <col min="2365" max="2365" width="11.5" style="703" customWidth="1"/>
    <col min="2366" max="2366" width="7.5" style="703" customWidth="1"/>
    <col min="2367" max="2367" width="10.33203125" style="703" customWidth="1"/>
    <col min="2368" max="2368" width="7.5" style="703" customWidth="1"/>
    <col min="2369" max="2372" width="10.83203125" style="703"/>
    <col min="2373" max="2373" width="18.83203125" style="703" customWidth="1"/>
    <col min="2374" max="2578" width="10.83203125" style="703"/>
    <col min="2579" max="2579" width="3.83203125" style="703" bestFit="1" customWidth="1"/>
    <col min="2580" max="2580" width="4.33203125" style="703" bestFit="1" customWidth="1"/>
    <col min="2581" max="2581" width="3.33203125" style="703" bestFit="1" customWidth="1"/>
    <col min="2582" max="2582" width="24.5" style="703" bestFit="1" customWidth="1"/>
    <col min="2583" max="2584" width="10.83203125" style="703"/>
    <col min="2585" max="2610" width="0" style="703" hidden="1" customWidth="1"/>
    <col min="2611" max="2616" width="11.5" style="703" customWidth="1"/>
    <col min="2617" max="2617" width="13.33203125" style="703" customWidth="1"/>
    <col min="2618" max="2619" width="11.5" style="703" customWidth="1"/>
    <col min="2620" max="2620" width="5.5" style="703" customWidth="1"/>
    <col min="2621" max="2621" width="11.5" style="703" customWidth="1"/>
    <col min="2622" max="2622" width="7.5" style="703" customWidth="1"/>
    <col min="2623" max="2623" width="10.33203125" style="703" customWidth="1"/>
    <col min="2624" max="2624" width="7.5" style="703" customWidth="1"/>
    <col min="2625" max="2628" width="10.83203125" style="703"/>
    <col min="2629" max="2629" width="18.83203125" style="703" customWidth="1"/>
    <col min="2630" max="2834" width="10.83203125" style="703"/>
    <col min="2835" max="2835" width="3.83203125" style="703" bestFit="1" customWidth="1"/>
    <col min="2836" max="2836" width="4.33203125" style="703" bestFit="1" customWidth="1"/>
    <col min="2837" max="2837" width="3.33203125" style="703" bestFit="1" customWidth="1"/>
    <col min="2838" max="2838" width="24.5" style="703" bestFit="1" customWidth="1"/>
    <col min="2839" max="2840" width="10.83203125" style="703"/>
    <col min="2841" max="2866" width="0" style="703" hidden="1" customWidth="1"/>
    <col min="2867" max="2872" width="11.5" style="703" customWidth="1"/>
    <col min="2873" max="2873" width="13.33203125" style="703" customWidth="1"/>
    <col min="2874" max="2875" width="11.5" style="703" customWidth="1"/>
    <col min="2876" max="2876" width="5.5" style="703" customWidth="1"/>
    <col min="2877" max="2877" width="11.5" style="703" customWidth="1"/>
    <col min="2878" max="2878" width="7.5" style="703" customWidth="1"/>
    <col min="2879" max="2879" width="10.33203125" style="703" customWidth="1"/>
    <col min="2880" max="2880" width="7.5" style="703" customWidth="1"/>
    <col min="2881" max="2884" width="10.83203125" style="703"/>
    <col min="2885" max="2885" width="18.83203125" style="703" customWidth="1"/>
    <col min="2886" max="3090" width="10.83203125" style="703"/>
    <col min="3091" max="3091" width="3.83203125" style="703" bestFit="1" customWidth="1"/>
    <col min="3092" max="3092" width="4.33203125" style="703" bestFit="1" customWidth="1"/>
    <col min="3093" max="3093" width="3.33203125" style="703" bestFit="1" customWidth="1"/>
    <col min="3094" max="3094" width="24.5" style="703" bestFit="1" customWidth="1"/>
    <col min="3095" max="3096" width="10.83203125" style="703"/>
    <col min="3097" max="3122" width="0" style="703" hidden="1" customWidth="1"/>
    <col min="3123" max="3128" width="11.5" style="703" customWidth="1"/>
    <col min="3129" max="3129" width="13.33203125" style="703" customWidth="1"/>
    <col min="3130" max="3131" width="11.5" style="703" customWidth="1"/>
    <col min="3132" max="3132" width="5.5" style="703" customWidth="1"/>
    <col min="3133" max="3133" width="11.5" style="703" customWidth="1"/>
    <col min="3134" max="3134" width="7.5" style="703" customWidth="1"/>
    <col min="3135" max="3135" width="10.33203125" style="703" customWidth="1"/>
    <col min="3136" max="3136" width="7.5" style="703" customWidth="1"/>
    <col min="3137" max="3140" width="10.83203125" style="703"/>
    <col min="3141" max="3141" width="18.83203125" style="703" customWidth="1"/>
    <col min="3142" max="3346" width="10.83203125" style="703"/>
    <col min="3347" max="3347" width="3.83203125" style="703" bestFit="1" customWidth="1"/>
    <col min="3348" max="3348" width="4.33203125" style="703" bestFit="1" customWidth="1"/>
    <col min="3349" max="3349" width="3.33203125" style="703" bestFit="1" customWidth="1"/>
    <col min="3350" max="3350" width="24.5" style="703" bestFit="1" customWidth="1"/>
    <col min="3351" max="3352" width="10.83203125" style="703"/>
    <col min="3353" max="3378" width="0" style="703" hidden="1" customWidth="1"/>
    <col min="3379" max="3384" width="11.5" style="703" customWidth="1"/>
    <col min="3385" max="3385" width="13.33203125" style="703" customWidth="1"/>
    <col min="3386" max="3387" width="11.5" style="703" customWidth="1"/>
    <col min="3388" max="3388" width="5.5" style="703" customWidth="1"/>
    <col min="3389" max="3389" width="11.5" style="703" customWidth="1"/>
    <col min="3390" max="3390" width="7.5" style="703" customWidth="1"/>
    <col min="3391" max="3391" width="10.33203125" style="703" customWidth="1"/>
    <col min="3392" max="3392" width="7.5" style="703" customWidth="1"/>
    <col min="3393" max="3396" width="10.83203125" style="703"/>
    <col min="3397" max="3397" width="18.83203125" style="703" customWidth="1"/>
    <col min="3398" max="3602" width="10.83203125" style="703"/>
    <col min="3603" max="3603" width="3.83203125" style="703" bestFit="1" customWidth="1"/>
    <col min="3604" max="3604" width="4.33203125" style="703" bestFit="1" customWidth="1"/>
    <col min="3605" max="3605" width="3.33203125" style="703" bestFit="1" customWidth="1"/>
    <col min="3606" max="3606" width="24.5" style="703" bestFit="1" customWidth="1"/>
    <col min="3607" max="3608" width="10.83203125" style="703"/>
    <col min="3609" max="3634" width="0" style="703" hidden="1" customWidth="1"/>
    <col min="3635" max="3640" width="11.5" style="703" customWidth="1"/>
    <col min="3641" max="3641" width="13.33203125" style="703" customWidth="1"/>
    <col min="3642" max="3643" width="11.5" style="703" customWidth="1"/>
    <col min="3644" max="3644" width="5.5" style="703" customWidth="1"/>
    <col min="3645" max="3645" width="11.5" style="703" customWidth="1"/>
    <col min="3646" max="3646" width="7.5" style="703" customWidth="1"/>
    <col min="3647" max="3647" width="10.33203125" style="703" customWidth="1"/>
    <col min="3648" max="3648" width="7.5" style="703" customWidth="1"/>
    <col min="3649" max="3652" width="10.83203125" style="703"/>
    <col min="3653" max="3653" width="18.83203125" style="703" customWidth="1"/>
    <col min="3654" max="3858" width="10.83203125" style="703"/>
    <col min="3859" max="3859" width="3.83203125" style="703" bestFit="1" customWidth="1"/>
    <col min="3860" max="3860" width="4.33203125" style="703" bestFit="1" customWidth="1"/>
    <col min="3861" max="3861" width="3.33203125" style="703" bestFit="1" customWidth="1"/>
    <col min="3862" max="3862" width="24.5" style="703" bestFit="1" customWidth="1"/>
    <col min="3863" max="3864" width="10.83203125" style="703"/>
    <col min="3865" max="3890" width="0" style="703" hidden="1" customWidth="1"/>
    <col min="3891" max="3896" width="11.5" style="703" customWidth="1"/>
    <col min="3897" max="3897" width="13.33203125" style="703" customWidth="1"/>
    <col min="3898" max="3899" width="11.5" style="703" customWidth="1"/>
    <col min="3900" max="3900" width="5.5" style="703" customWidth="1"/>
    <col min="3901" max="3901" width="11.5" style="703" customWidth="1"/>
    <col min="3902" max="3902" width="7.5" style="703" customWidth="1"/>
    <col min="3903" max="3903" width="10.33203125" style="703" customWidth="1"/>
    <col min="3904" max="3904" width="7.5" style="703" customWidth="1"/>
    <col min="3905" max="3908" width="10.83203125" style="703"/>
    <col min="3909" max="3909" width="18.83203125" style="703" customWidth="1"/>
    <col min="3910" max="4114" width="10.83203125" style="703"/>
    <col min="4115" max="4115" width="3.83203125" style="703" bestFit="1" customWidth="1"/>
    <col min="4116" max="4116" width="4.33203125" style="703" bestFit="1" customWidth="1"/>
    <col min="4117" max="4117" width="3.33203125" style="703" bestFit="1" customWidth="1"/>
    <col min="4118" max="4118" width="24.5" style="703" bestFit="1" customWidth="1"/>
    <col min="4119" max="4120" width="10.83203125" style="703"/>
    <col min="4121" max="4146" width="0" style="703" hidden="1" customWidth="1"/>
    <col min="4147" max="4152" width="11.5" style="703" customWidth="1"/>
    <col min="4153" max="4153" width="13.33203125" style="703" customWidth="1"/>
    <col min="4154" max="4155" width="11.5" style="703" customWidth="1"/>
    <col min="4156" max="4156" width="5.5" style="703" customWidth="1"/>
    <col min="4157" max="4157" width="11.5" style="703" customWidth="1"/>
    <col min="4158" max="4158" width="7.5" style="703" customWidth="1"/>
    <col min="4159" max="4159" width="10.33203125" style="703" customWidth="1"/>
    <col min="4160" max="4160" width="7.5" style="703" customWidth="1"/>
    <col min="4161" max="4164" width="10.83203125" style="703"/>
    <col min="4165" max="4165" width="18.83203125" style="703" customWidth="1"/>
    <col min="4166" max="4370" width="10.83203125" style="703"/>
    <col min="4371" max="4371" width="3.83203125" style="703" bestFit="1" customWidth="1"/>
    <col min="4372" max="4372" width="4.33203125" style="703" bestFit="1" customWidth="1"/>
    <col min="4373" max="4373" width="3.33203125" style="703" bestFit="1" customWidth="1"/>
    <col min="4374" max="4374" width="24.5" style="703" bestFit="1" customWidth="1"/>
    <col min="4375" max="4376" width="10.83203125" style="703"/>
    <col min="4377" max="4402" width="0" style="703" hidden="1" customWidth="1"/>
    <col min="4403" max="4408" width="11.5" style="703" customWidth="1"/>
    <col min="4409" max="4409" width="13.33203125" style="703" customWidth="1"/>
    <col min="4410" max="4411" width="11.5" style="703" customWidth="1"/>
    <col min="4412" max="4412" width="5.5" style="703" customWidth="1"/>
    <col min="4413" max="4413" width="11.5" style="703" customWidth="1"/>
    <col min="4414" max="4414" width="7.5" style="703" customWidth="1"/>
    <col min="4415" max="4415" width="10.33203125" style="703" customWidth="1"/>
    <col min="4416" max="4416" width="7.5" style="703" customWidth="1"/>
    <col min="4417" max="4420" width="10.83203125" style="703"/>
    <col min="4421" max="4421" width="18.83203125" style="703" customWidth="1"/>
    <col min="4422" max="4626" width="10.83203125" style="703"/>
    <col min="4627" max="4627" width="3.83203125" style="703" bestFit="1" customWidth="1"/>
    <col min="4628" max="4628" width="4.33203125" style="703" bestFit="1" customWidth="1"/>
    <col min="4629" max="4629" width="3.33203125" style="703" bestFit="1" customWidth="1"/>
    <col min="4630" max="4630" width="24.5" style="703" bestFit="1" customWidth="1"/>
    <col min="4631" max="4632" width="10.83203125" style="703"/>
    <col min="4633" max="4658" width="0" style="703" hidden="1" customWidth="1"/>
    <col min="4659" max="4664" width="11.5" style="703" customWidth="1"/>
    <col min="4665" max="4665" width="13.33203125" style="703" customWidth="1"/>
    <col min="4666" max="4667" width="11.5" style="703" customWidth="1"/>
    <col min="4668" max="4668" width="5.5" style="703" customWidth="1"/>
    <col min="4669" max="4669" width="11.5" style="703" customWidth="1"/>
    <col min="4670" max="4670" width="7.5" style="703" customWidth="1"/>
    <col min="4671" max="4671" width="10.33203125" style="703" customWidth="1"/>
    <col min="4672" max="4672" width="7.5" style="703" customWidth="1"/>
    <col min="4673" max="4676" width="10.83203125" style="703"/>
    <col min="4677" max="4677" width="18.83203125" style="703" customWidth="1"/>
    <col min="4678" max="4882" width="10.83203125" style="703"/>
    <col min="4883" max="4883" width="3.83203125" style="703" bestFit="1" customWidth="1"/>
    <col min="4884" max="4884" width="4.33203125" style="703" bestFit="1" customWidth="1"/>
    <col min="4885" max="4885" width="3.33203125" style="703" bestFit="1" customWidth="1"/>
    <col min="4886" max="4886" width="24.5" style="703" bestFit="1" customWidth="1"/>
    <col min="4887" max="4888" width="10.83203125" style="703"/>
    <col min="4889" max="4914" width="0" style="703" hidden="1" customWidth="1"/>
    <col min="4915" max="4920" width="11.5" style="703" customWidth="1"/>
    <col min="4921" max="4921" width="13.33203125" style="703" customWidth="1"/>
    <col min="4922" max="4923" width="11.5" style="703" customWidth="1"/>
    <col min="4924" max="4924" width="5.5" style="703" customWidth="1"/>
    <col min="4925" max="4925" width="11.5" style="703" customWidth="1"/>
    <col min="4926" max="4926" width="7.5" style="703" customWidth="1"/>
    <col min="4927" max="4927" width="10.33203125" style="703" customWidth="1"/>
    <col min="4928" max="4928" width="7.5" style="703" customWidth="1"/>
    <col min="4929" max="4932" width="10.83203125" style="703"/>
    <col min="4933" max="4933" width="18.83203125" style="703" customWidth="1"/>
    <col min="4934" max="5138" width="10.83203125" style="703"/>
    <col min="5139" max="5139" width="3.83203125" style="703" bestFit="1" customWidth="1"/>
    <col min="5140" max="5140" width="4.33203125" style="703" bestFit="1" customWidth="1"/>
    <col min="5141" max="5141" width="3.33203125" style="703" bestFit="1" customWidth="1"/>
    <col min="5142" max="5142" width="24.5" style="703" bestFit="1" customWidth="1"/>
    <col min="5143" max="5144" width="10.83203125" style="703"/>
    <col min="5145" max="5170" width="0" style="703" hidden="1" customWidth="1"/>
    <col min="5171" max="5176" width="11.5" style="703" customWidth="1"/>
    <col min="5177" max="5177" width="13.33203125" style="703" customWidth="1"/>
    <col min="5178" max="5179" width="11.5" style="703" customWidth="1"/>
    <col min="5180" max="5180" width="5.5" style="703" customWidth="1"/>
    <col min="5181" max="5181" width="11.5" style="703" customWidth="1"/>
    <col min="5182" max="5182" width="7.5" style="703" customWidth="1"/>
    <col min="5183" max="5183" width="10.33203125" style="703" customWidth="1"/>
    <col min="5184" max="5184" width="7.5" style="703" customWidth="1"/>
    <col min="5185" max="5188" width="10.83203125" style="703"/>
    <col min="5189" max="5189" width="18.83203125" style="703" customWidth="1"/>
    <col min="5190" max="5394" width="10.83203125" style="703"/>
    <col min="5395" max="5395" width="3.83203125" style="703" bestFit="1" customWidth="1"/>
    <col min="5396" max="5396" width="4.33203125" style="703" bestFit="1" customWidth="1"/>
    <col min="5397" max="5397" width="3.33203125" style="703" bestFit="1" customWidth="1"/>
    <col min="5398" max="5398" width="24.5" style="703" bestFit="1" customWidth="1"/>
    <col min="5399" max="5400" width="10.83203125" style="703"/>
    <col min="5401" max="5426" width="0" style="703" hidden="1" customWidth="1"/>
    <col min="5427" max="5432" width="11.5" style="703" customWidth="1"/>
    <col min="5433" max="5433" width="13.33203125" style="703" customWidth="1"/>
    <col min="5434" max="5435" width="11.5" style="703" customWidth="1"/>
    <col min="5436" max="5436" width="5.5" style="703" customWidth="1"/>
    <col min="5437" max="5437" width="11.5" style="703" customWidth="1"/>
    <col min="5438" max="5438" width="7.5" style="703" customWidth="1"/>
    <col min="5439" max="5439" width="10.33203125" style="703" customWidth="1"/>
    <col min="5440" max="5440" width="7.5" style="703" customWidth="1"/>
    <col min="5441" max="5444" width="10.83203125" style="703"/>
    <col min="5445" max="5445" width="18.83203125" style="703" customWidth="1"/>
    <col min="5446" max="5650" width="10.83203125" style="703"/>
    <col min="5651" max="5651" width="3.83203125" style="703" bestFit="1" customWidth="1"/>
    <col min="5652" max="5652" width="4.33203125" style="703" bestFit="1" customWidth="1"/>
    <col min="5653" max="5653" width="3.33203125" style="703" bestFit="1" customWidth="1"/>
    <col min="5654" max="5654" width="24.5" style="703" bestFit="1" customWidth="1"/>
    <col min="5655" max="5656" width="10.83203125" style="703"/>
    <col min="5657" max="5682" width="0" style="703" hidden="1" customWidth="1"/>
    <col min="5683" max="5688" width="11.5" style="703" customWidth="1"/>
    <col min="5689" max="5689" width="13.33203125" style="703" customWidth="1"/>
    <col min="5690" max="5691" width="11.5" style="703" customWidth="1"/>
    <col min="5692" max="5692" width="5.5" style="703" customWidth="1"/>
    <col min="5693" max="5693" width="11.5" style="703" customWidth="1"/>
    <col min="5694" max="5694" width="7.5" style="703" customWidth="1"/>
    <col min="5695" max="5695" width="10.33203125" style="703" customWidth="1"/>
    <col min="5696" max="5696" width="7.5" style="703" customWidth="1"/>
    <col min="5697" max="5700" width="10.83203125" style="703"/>
    <col min="5701" max="5701" width="18.83203125" style="703" customWidth="1"/>
    <col min="5702" max="5906" width="10.83203125" style="703"/>
    <col min="5907" max="5907" width="3.83203125" style="703" bestFit="1" customWidth="1"/>
    <col min="5908" max="5908" width="4.33203125" style="703" bestFit="1" customWidth="1"/>
    <col min="5909" max="5909" width="3.33203125" style="703" bestFit="1" customWidth="1"/>
    <col min="5910" max="5910" width="24.5" style="703" bestFit="1" customWidth="1"/>
    <col min="5911" max="5912" width="10.83203125" style="703"/>
    <col min="5913" max="5938" width="0" style="703" hidden="1" customWidth="1"/>
    <col min="5939" max="5944" width="11.5" style="703" customWidth="1"/>
    <col min="5945" max="5945" width="13.33203125" style="703" customWidth="1"/>
    <col min="5946" max="5947" width="11.5" style="703" customWidth="1"/>
    <col min="5948" max="5948" width="5.5" style="703" customWidth="1"/>
    <col min="5949" max="5949" width="11.5" style="703" customWidth="1"/>
    <col min="5950" max="5950" width="7.5" style="703" customWidth="1"/>
    <col min="5951" max="5951" width="10.33203125" style="703" customWidth="1"/>
    <col min="5952" max="5952" width="7.5" style="703" customWidth="1"/>
    <col min="5953" max="5956" width="10.83203125" style="703"/>
    <col min="5957" max="5957" width="18.83203125" style="703" customWidth="1"/>
    <col min="5958" max="6162" width="10.83203125" style="703"/>
    <col min="6163" max="6163" width="3.83203125" style="703" bestFit="1" customWidth="1"/>
    <col min="6164" max="6164" width="4.33203125" style="703" bestFit="1" customWidth="1"/>
    <col min="6165" max="6165" width="3.33203125" style="703" bestFit="1" customWidth="1"/>
    <col min="6166" max="6166" width="24.5" style="703" bestFit="1" customWidth="1"/>
    <col min="6167" max="6168" width="10.83203125" style="703"/>
    <col min="6169" max="6194" width="0" style="703" hidden="1" customWidth="1"/>
    <col min="6195" max="6200" width="11.5" style="703" customWidth="1"/>
    <col min="6201" max="6201" width="13.33203125" style="703" customWidth="1"/>
    <col min="6202" max="6203" width="11.5" style="703" customWidth="1"/>
    <col min="6204" max="6204" width="5.5" style="703" customWidth="1"/>
    <col min="6205" max="6205" width="11.5" style="703" customWidth="1"/>
    <col min="6206" max="6206" width="7.5" style="703" customWidth="1"/>
    <col min="6207" max="6207" width="10.33203125" style="703" customWidth="1"/>
    <col min="6208" max="6208" width="7.5" style="703" customWidth="1"/>
    <col min="6209" max="6212" width="10.83203125" style="703"/>
    <col min="6213" max="6213" width="18.83203125" style="703" customWidth="1"/>
    <col min="6214" max="6418" width="10.83203125" style="703"/>
    <col min="6419" max="6419" width="3.83203125" style="703" bestFit="1" customWidth="1"/>
    <col min="6420" max="6420" width="4.33203125" style="703" bestFit="1" customWidth="1"/>
    <col min="6421" max="6421" width="3.33203125" style="703" bestFit="1" customWidth="1"/>
    <col min="6422" max="6422" width="24.5" style="703" bestFit="1" customWidth="1"/>
    <col min="6423" max="6424" width="10.83203125" style="703"/>
    <col min="6425" max="6450" width="0" style="703" hidden="1" customWidth="1"/>
    <col min="6451" max="6456" width="11.5" style="703" customWidth="1"/>
    <col min="6457" max="6457" width="13.33203125" style="703" customWidth="1"/>
    <col min="6458" max="6459" width="11.5" style="703" customWidth="1"/>
    <col min="6460" max="6460" width="5.5" style="703" customWidth="1"/>
    <col min="6461" max="6461" width="11.5" style="703" customWidth="1"/>
    <col min="6462" max="6462" width="7.5" style="703" customWidth="1"/>
    <col min="6463" max="6463" width="10.33203125" style="703" customWidth="1"/>
    <col min="6464" max="6464" width="7.5" style="703" customWidth="1"/>
    <col min="6465" max="6468" width="10.83203125" style="703"/>
    <col min="6469" max="6469" width="18.83203125" style="703" customWidth="1"/>
    <col min="6470" max="6674" width="10.83203125" style="703"/>
    <col min="6675" max="6675" width="3.83203125" style="703" bestFit="1" customWidth="1"/>
    <col min="6676" max="6676" width="4.33203125" style="703" bestFit="1" customWidth="1"/>
    <col min="6677" max="6677" width="3.33203125" style="703" bestFit="1" customWidth="1"/>
    <col min="6678" max="6678" width="24.5" style="703" bestFit="1" customWidth="1"/>
    <col min="6679" max="6680" width="10.83203125" style="703"/>
    <col min="6681" max="6706" width="0" style="703" hidden="1" customWidth="1"/>
    <col min="6707" max="6712" width="11.5" style="703" customWidth="1"/>
    <col min="6713" max="6713" width="13.33203125" style="703" customWidth="1"/>
    <col min="6714" max="6715" width="11.5" style="703" customWidth="1"/>
    <col min="6716" max="6716" width="5.5" style="703" customWidth="1"/>
    <col min="6717" max="6717" width="11.5" style="703" customWidth="1"/>
    <col min="6718" max="6718" width="7.5" style="703" customWidth="1"/>
    <col min="6719" max="6719" width="10.33203125" style="703" customWidth="1"/>
    <col min="6720" max="6720" width="7.5" style="703" customWidth="1"/>
    <col min="6721" max="6724" width="10.83203125" style="703"/>
    <col min="6725" max="6725" width="18.83203125" style="703" customWidth="1"/>
    <col min="6726" max="6930" width="10.83203125" style="703"/>
    <col min="6931" max="6931" width="3.83203125" style="703" bestFit="1" customWidth="1"/>
    <col min="6932" max="6932" width="4.33203125" style="703" bestFit="1" customWidth="1"/>
    <col min="6933" max="6933" width="3.33203125" style="703" bestFit="1" customWidth="1"/>
    <col min="6934" max="6934" width="24.5" style="703" bestFit="1" customWidth="1"/>
    <col min="6935" max="6936" width="10.83203125" style="703"/>
    <col min="6937" max="6962" width="0" style="703" hidden="1" customWidth="1"/>
    <col min="6963" max="6968" width="11.5" style="703" customWidth="1"/>
    <col min="6969" max="6969" width="13.33203125" style="703" customWidth="1"/>
    <col min="6970" max="6971" width="11.5" style="703" customWidth="1"/>
    <col min="6972" max="6972" width="5.5" style="703" customWidth="1"/>
    <col min="6973" max="6973" width="11.5" style="703" customWidth="1"/>
    <col min="6974" max="6974" width="7.5" style="703" customWidth="1"/>
    <col min="6975" max="6975" width="10.33203125" style="703" customWidth="1"/>
    <col min="6976" max="6976" width="7.5" style="703" customWidth="1"/>
    <col min="6977" max="6980" width="10.83203125" style="703"/>
    <col min="6981" max="6981" width="18.83203125" style="703" customWidth="1"/>
    <col min="6982" max="7186" width="10.83203125" style="703"/>
    <col min="7187" max="7187" width="3.83203125" style="703" bestFit="1" customWidth="1"/>
    <col min="7188" max="7188" width="4.33203125" style="703" bestFit="1" customWidth="1"/>
    <col min="7189" max="7189" width="3.33203125" style="703" bestFit="1" customWidth="1"/>
    <col min="7190" max="7190" width="24.5" style="703" bestFit="1" customWidth="1"/>
    <col min="7191" max="7192" width="10.83203125" style="703"/>
    <col min="7193" max="7218" width="0" style="703" hidden="1" customWidth="1"/>
    <col min="7219" max="7224" width="11.5" style="703" customWidth="1"/>
    <col min="7225" max="7225" width="13.33203125" style="703" customWidth="1"/>
    <col min="7226" max="7227" width="11.5" style="703" customWidth="1"/>
    <col min="7228" max="7228" width="5.5" style="703" customWidth="1"/>
    <col min="7229" max="7229" width="11.5" style="703" customWidth="1"/>
    <col min="7230" max="7230" width="7.5" style="703" customWidth="1"/>
    <col min="7231" max="7231" width="10.33203125" style="703" customWidth="1"/>
    <col min="7232" max="7232" width="7.5" style="703" customWidth="1"/>
    <col min="7233" max="7236" width="10.83203125" style="703"/>
    <col min="7237" max="7237" width="18.83203125" style="703" customWidth="1"/>
    <col min="7238" max="7442" width="10.83203125" style="703"/>
    <col min="7443" max="7443" width="3.83203125" style="703" bestFit="1" customWidth="1"/>
    <col min="7444" max="7444" width="4.33203125" style="703" bestFit="1" customWidth="1"/>
    <col min="7445" max="7445" width="3.33203125" style="703" bestFit="1" customWidth="1"/>
    <col min="7446" max="7446" width="24.5" style="703" bestFit="1" customWidth="1"/>
    <col min="7447" max="7448" width="10.83203125" style="703"/>
    <col min="7449" max="7474" width="0" style="703" hidden="1" customWidth="1"/>
    <col min="7475" max="7480" width="11.5" style="703" customWidth="1"/>
    <col min="7481" max="7481" width="13.33203125" style="703" customWidth="1"/>
    <col min="7482" max="7483" width="11.5" style="703" customWidth="1"/>
    <col min="7484" max="7484" width="5.5" style="703" customWidth="1"/>
    <col min="7485" max="7485" width="11.5" style="703" customWidth="1"/>
    <col min="7486" max="7486" width="7.5" style="703" customWidth="1"/>
    <col min="7487" max="7487" width="10.33203125" style="703" customWidth="1"/>
    <col min="7488" max="7488" width="7.5" style="703" customWidth="1"/>
    <col min="7489" max="7492" width="10.83203125" style="703"/>
    <col min="7493" max="7493" width="18.83203125" style="703" customWidth="1"/>
    <col min="7494" max="7698" width="10.83203125" style="703"/>
    <col min="7699" max="7699" width="3.83203125" style="703" bestFit="1" customWidth="1"/>
    <col min="7700" max="7700" width="4.33203125" style="703" bestFit="1" customWidth="1"/>
    <col min="7701" max="7701" width="3.33203125" style="703" bestFit="1" customWidth="1"/>
    <col min="7702" max="7702" width="24.5" style="703" bestFit="1" customWidth="1"/>
    <col min="7703" max="7704" width="10.83203125" style="703"/>
    <col min="7705" max="7730" width="0" style="703" hidden="1" customWidth="1"/>
    <col min="7731" max="7736" width="11.5" style="703" customWidth="1"/>
    <col min="7737" max="7737" width="13.33203125" style="703" customWidth="1"/>
    <col min="7738" max="7739" width="11.5" style="703" customWidth="1"/>
    <col min="7740" max="7740" width="5.5" style="703" customWidth="1"/>
    <col min="7741" max="7741" width="11.5" style="703" customWidth="1"/>
    <col min="7742" max="7742" width="7.5" style="703" customWidth="1"/>
    <col min="7743" max="7743" width="10.33203125" style="703" customWidth="1"/>
    <col min="7744" max="7744" width="7.5" style="703" customWidth="1"/>
    <col min="7745" max="7748" width="10.83203125" style="703"/>
    <col min="7749" max="7749" width="18.83203125" style="703" customWidth="1"/>
    <col min="7750" max="7954" width="10.83203125" style="703"/>
    <col min="7955" max="7955" width="3.83203125" style="703" bestFit="1" customWidth="1"/>
    <col min="7956" max="7956" width="4.33203125" style="703" bestFit="1" customWidth="1"/>
    <col min="7957" max="7957" width="3.33203125" style="703" bestFit="1" customWidth="1"/>
    <col min="7958" max="7958" width="24.5" style="703" bestFit="1" customWidth="1"/>
    <col min="7959" max="7960" width="10.83203125" style="703"/>
    <col min="7961" max="7986" width="0" style="703" hidden="1" customWidth="1"/>
    <col min="7987" max="7992" width="11.5" style="703" customWidth="1"/>
    <col min="7993" max="7993" width="13.33203125" style="703" customWidth="1"/>
    <col min="7994" max="7995" width="11.5" style="703" customWidth="1"/>
    <col min="7996" max="7996" width="5.5" style="703" customWidth="1"/>
    <col min="7997" max="7997" width="11.5" style="703" customWidth="1"/>
    <col min="7998" max="7998" width="7.5" style="703" customWidth="1"/>
    <col min="7999" max="7999" width="10.33203125" style="703" customWidth="1"/>
    <col min="8000" max="8000" width="7.5" style="703" customWidth="1"/>
    <col min="8001" max="8004" width="10.83203125" style="703"/>
    <col min="8005" max="8005" width="18.83203125" style="703" customWidth="1"/>
    <col min="8006" max="8210" width="10.83203125" style="703"/>
    <col min="8211" max="8211" width="3.83203125" style="703" bestFit="1" customWidth="1"/>
    <col min="8212" max="8212" width="4.33203125" style="703" bestFit="1" customWidth="1"/>
    <col min="8213" max="8213" width="3.33203125" style="703" bestFit="1" customWidth="1"/>
    <col min="8214" max="8214" width="24.5" style="703" bestFit="1" customWidth="1"/>
    <col min="8215" max="8216" width="10.83203125" style="703"/>
    <col min="8217" max="8242" width="0" style="703" hidden="1" customWidth="1"/>
    <col min="8243" max="8248" width="11.5" style="703" customWidth="1"/>
    <col min="8249" max="8249" width="13.33203125" style="703" customWidth="1"/>
    <col min="8250" max="8251" width="11.5" style="703" customWidth="1"/>
    <col min="8252" max="8252" width="5.5" style="703" customWidth="1"/>
    <col min="8253" max="8253" width="11.5" style="703" customWidth="1"/>
    <col min="8254" max="8254" width="7.5" style="703" customWidth="1"/>
    <col min="8255" max="8255" width="10.33203125" style="703" customWidth="1"/>
    <col min="8256" max="8256" width="7.5" style="703" customWidth="1"/>
    <col min="8257" max="8260" width="10.83203125" style="703"/>
    <col min="8261" max="8261" width="18.83203125" style="703" customWidth="1"/>
    <col min="8262" max="8466" width="10.83203125" style="703"/>
    <col min="8467" max="8467" width="3.83203125" style="703" bestFit="1" customWidth="1"/>
    <col min="8468" max="8468" width="4.33203125" style="703" bestFit="1" customWidth="1"/>
    <col min="8469" max="8469" width="3.33203125" style="703" bestFit="1" customWidth="1"/>
    <col min="8470" max="8470" width="24.5" style="703" bestFit="1" customWidth="1"/>
    <col min="8471" max="8472" width="10.83203125" style="703"/>
    <col min="8473" max="8498" width="0" style="703" hidden="1" customWidth="1"/>
    <col min="8499" max="8504" width="11.5" style="703" customWidth="1"/>
    <col min="8505" max="8505" width="13.33203125" style="703" customWidth="1"/>
    <col min="8506" max="8507" width="11.5" style="703" customWidth="1"/>
    <col min="8508" max="8508" width="5.5" style="703" customWidth="1"/>
    <col min="8509" max="8509" width="11.5" style="703" customWidth="1"/>
    <col min="8510" max="8510" width="7.5" style="703" customWidth="1"/>
    <col min="8511" max="8511" width="10.33203125" style="703" customWidth="1"/>
    <col min="8512" max="8512" width="7.5" style="703" customWidth="1"/>
    <col min="8513" max="8516" width="10.83203125" style="703"/>
    <col min="8517" max="8517" width="18.83203125" style="703" customWidth="1"/>
    <col min="8518" max="8722" width="10.83203125" style="703"/>
    <col min="8723" max="8723" width="3.83203125" style="703" bestFit="1" customWidth="1"/>
    <col min="8724" max="8724" width="4.33203125" style="703" bestFit="1" customWidth="1"/>
    <col min="8725" max="8725" width="3.33203125" style="703" bestFit="1" customWidth="1"/>
    <col min="8726" max="8726" width="24.5" style="703" bestFit="1" customWidth="1"/>
    <col min="8727" max="8728" width="10.83203125" style="703"/>
    <col min="8729" max="8754" width="0" style="703" hidden="1" customWidth="1"/>
    <col min="8755" max="8760" width="11.5" style="703" customWidth="1"/>
    <col min="8761" max="8761" width="13.33203125" style="703" customWidth="1"/>
    <col min="8762" max="8763" width="11.5" style="703" customWidth="1"/>
    <col min="8764" max="8764" width="5.5" style="703" customWidth="1"/>
    <col min="8765" max="8765" width="11.5" style="703" customWidth="1"/>
    <col min="8766" max="8766" width="7.5" style="703" customWidth="1"/>
    <col min="8767" max="8767" width="10.33203125" style="703" customWidth="1"/>
    <col min="8768" max="8768" width="7.5" style="703" customWidth="1"/>
    <col min="8769" max="8772" width="10.83203125" style="703"/>
    <col min="8773" max="8773" width="18.83203125" style="703" customWidth="1"/>
    <col min="8774" max="8978" width="10.83203125" style="703"/>
    <col min="8979" max="8979" width="3.83203125" style="703" bestFit="1" customWidth="1"/>
    <col min="8980" max="8980" width="4.33203125" style="703" bestFit="1" customWidth="1"/>
    <col min="8981" max="8981" width="3.33203125" style="703" bestFit="1" customWidth="1"/>
    <col min="8982" max="8982" width="24.5" style="703" bestFit="1" customWidth="1"/>
    <col min="8983" max="8984" width="10.83203125" style="703"/>
    <col min="8985" max="9010" width="0" style="703" hidden="1" customWidth="1"/>
    <col min="9011" max="9016" width="11.5" style="703" customWidth="1"/>
    <col min="9017" max="9017" width="13.33203125" style="703" customWidth="1"/>
    <col min="9018" max="9019" width="11.5" style="703" customWidth="1"/>
    <col min="9020" max="9020" width="5.5" style="703" customWidth="1"/>
    <col min="9021" max="9021" width="11.5" style="703" customWidth="1"/>
    <col min="9022" max="9022" width="7.5" style="703" customWidth="1"/>
    <col min="9023" max="9023" width="10.33203125" style="703" customWidth="1"/>
    <col min="9024" max="9024" width="7.5" style="703" customWidth="1"/>
    <col min="9025" max="9028" width="10.83203125" style="703"/>
    <col min="9029" max="9029" width="18.83203125" style="703" customWidth="1"/>
    <col min="9030" max="9234" width="10.83203125" style="703"/>
    <col min="9235" max="9235" width="3.83203125" style="703" bestFit="1" customWidth="1"/>
    <col min="9236" max="9236" width="4.33203125" style="703" bestFit="1" customWidth="1"/>
    <col min="9237" max="9237" width="3.33203125" style="703" bestFit="1" customWidth="1"/>
    <col min="9238" max="9238" width="24.5" style="703" bestFit="1" customWidth="1"/>
    <col min="9239" max="9240" width="10.83203125" style="703"/>
    <col min="9241" max="9266" width="0" style="703" hidden="1" customWidth="1"/>
    <col min="9267" max="9272" width="11.5" style="703" customWidth="1"/>
    <col min="9273" max="9273" width="13.33203125" style="703" customWidth="1"/>
    <col min="9274" max="9275" width="11.5" style="703" customWidth="1"/>
    <col min="9276" max="9276" width="5.5" style="703" customWidth="1"/>
    <col min="9277" max="9277" width="11.5" style="703" customWidth="1"/>
    <col min="9278" max="9278" width="7.5" style="703" customWidth="1"/>
    <col min="9279" max="9279" width="10.33203125" style="703" customWidth="1"/>
    <col min="9280" max="9280" width="7.5" style="703" customWidth="1"/>
    <col min="9281" max="9284" width="10.83203125" style="703"/>
    <col min="9285" max="9285" width="18.83203125" style="703" customWidth="1"/>
    <col min="9286" max="9490" width="10.83203125" style="703"/>
    <col min="9491" max="9491" width="3.83203125" style="703" bestFit="1" customWidth="1"/>
    <col min="9492" max="9492" width="4.33203125" style="703" bestFit="1" customWidth="1"/>
    <col min="9493" max="9493" width="3.33203125" style="703" bestFit="1" customWidth="1"/>
    <col min="9494" max="9494" width="24.5" style="703" bestFit="1" customWidth="1"/>
    <col min="9495" max="9496" width="10.83203125" style="703"/>
    <col min="9497" max="9522" width="0" style="703" hidden="1" customWidth="1"/>
    <col min="9523" max="9528" width="11.5" style="703" customWidth="1"/>
    <col min="9529" max="9529" width="13.33203125" style="703" customWidth="1"/>
    <col min="9530" max="9531" width="11.5" style="703" customWidth="1"/>
    <col min="9532" max="9532" width="5.5" style="703" customWidth="1"/>
    <col min="9533" max="9533" width="11.5" style="703" customWidth="1"/>
    <col min="9534" max="9534" width="7.5" style="703" customWidth="1"/>
    <col min="9535" max="9535" width="10.33203125" style="703" customWidth="1"/>
    <col min="9536" max="9536" width="7.5" style="703" customWidth="1"/>
    <col min="9537" max="9540" width="10.83203125" style="703"/>
    <col min="9541" max="9541" width="18.83203125" style="703" customWidth="1"/>
    <col min="9542" max="9746" width="10.83203125" style="703"/>
    <col min="9747" max="9747" width="3.83203125" style="703" bestFit="1" customWidth="1"/>
    <col min="9748" max="9748" width="4.33203125" style="703" bestFit="1" customWidth="1"/>
    <col min="9749" max="9749" width="3.33203125" style="703" bestFit="1" customWidth="1"/>
    <col min="9750" max="9750" width="24.5" style="703" bestFit="1" customWidth="1"/>
    <col min="9751" max="9752" width="10.83203125" style="703"/>
    <col min="9753" max="9778" width="0" style="703" hidden="1" customWidth="1"/>
    <col min="9779" max="9784" width="11.5" style="703" customWidth="1"/>
    <col min="9785" max="9785" width="13.33203125" style="703" customWidth="1"/>
    <col min="9786" max="9787" width="11.5" style="703" customWidth="1"/>
    <col min="9788" max="9788" width="5.5" style="703" customWidth="1"/>
    <col min="9789" max="9789" width="11.5" style="703" customWidth="1"/>
    <col min="9790" max="9790" width="7.5" style="703" customWidth="1"/>
    <col min="9791" max="9791" width="10.33203125" style="703" customWidth="1"/>
    <col min="9792" max="9792" width="7.5" style="703" customWidth="1"/>
    <col min="9793" max="9796" width="10.83203125" style="703"/>
    <col min="9797" max="9797" width="18.83203125" style="703" customWidth="1"/>
    <col min="9798" max="10002" width="10.83203125" style="703"/>
    <col min="10003" max="10003" width="3.83203125" style="703" bestFit="1" customWidth="1"/>
    <col min="10004" max="10004" width="4.33203125" style="703" bestFit="1" customWidth="1"/>
    <col min="10005" max="10005" width="3.33203125" style="703" bestFit="1" customWidth="1"/>
    <col min="10006" max="10006" width="24.5" style="703" bestFit="1" customWidth="1"/>
    <col min="10007" max="10008" width="10.83203125" style="703"/>
    <col min="10009" max="10034" width="0" style="703" hidden="1" customWidth="1"/>
    <col min="10035" max="10040" width="11.5" style="703" customWidth="1"/>
    <col min="10041" max="10041" width="13.33203125" style="703" customWidth="1"/>
    <col min="10042" max="10043" width="11.5" style="703" customWidth="1"/>
    <col min="10044" max="10044" width="5.5" style="703" customWidth="1"/>
    <col min="10045" max="10045" width="11.5" style="703" customWidth="1"/>
    <col min="10046" max="10046" width="7.5" style="703" customWidth="1"/>
    <col min="10047" max="10047" width="10.33203125" style="703" customWidth="1"/>
    <col min="10048" max="10048" width="7.5" style="703" customWidth="1"/>
    <col min="10049" max="10052" width="10.83203125" style="703"/>
    <col min="10053" max="10053" width="18.83203125" style="703" customWidth="1"/>
    <col min="10054" max="10258" width="10.83203125" style="703"/>
    <col min="10259" max="10259" width="3.83203125" style="703" bestFit="1" customWidth="1"/>
    <col min="10260" max="10260" width="4.33203125" style="703" bestFit="1" customWidth="1"/>
    <col min="10261" max="10261" width="3.33203125" style="703" bestFit="1" customWidth="1"/>
    <col min="10262" max="10262" width="24.5" style="703" bestFit="1" customWidth="1"/>
    <col min="10263" max="10264" width="10.83203125" style="703"/>
    <col min="10265" max="10290" width="0" style="703" hidden="1" customWidth="1"/>
    <col min="10291" max="10296" width="11.5" style="703" customWidth="1"/>
    <col min="10297" max="10297" width="13.33203125" style="703" customWidth="1"/>
    <col min="10298" max="10299" width="11.5" style="703" customWidth="1"/>
    <col min="10300" max="10300" width="5.5" style="703" customWidth="1"/>
    <col min="10301" max="10301" width="11.5" style="703" customWidth="1"/>
    <col min="10302" max="10302" width="7.5" style="703" customWidth="1"/>
    <col min="10303" max="10303" width="10.33203125" style="703" customWidth="1"/>
    <col min="10304" max="10304" width="7.5" style="703" customWidth="1"/>
    <col min="10305" max="10308" width="10.83203125" style="703"/>
    <col min="10309" max="10309" width="18.83203125" style="703" customWidth="1"/>
    <col min="10310" max="10514" width="10.83203125" style="703"/>
    <col min="10515" max="10515" width="3.83203125" style="703" bestFit="1" customWidth="1"/>
    <col min="10516" max="10516" width="4.33203125" style="703" bestFit="1" customWidth="1"/>
    <col min="10517" max="10517" width="3.33203125" style="703" bestFit="1" customWidth="1"/>
    <col min="10518" max="10518" width="24.5" style="703" bestFit="1" customWidth="1"/>
    <col min="10519" max="10520" width="10.83203125" style="703"/>
    <col min="10521" max="10546" width="0" style="703" hidden="1" customWidth="1"/>
    <col min="10547" max="10552" width="11.5" style="703" customWidth="1"/>
    <col min="10553" max="10553" width="13.33203125" style="703" customWidth="1"/>
    <col min="10554" max="10555" width="11.5" style="703" customWidth="1"/>
    <col min="10556" max="10556" width="5.5" style="703" customWidth="1"/>
    <col min="10557" max="10557" width="11.5" style="703" customWidth="1"/>
    <col min="10558" max="10558" width="7.5" style="703" customWidth="1"/>
    <col min="10559" max="10559" width="10.33203125" style="703" customWidth="1"/>
    <col min="10560" max="10560" width="7.5" style="703" customWidth="1"/>
    <col min="10561" max="10564" width="10.83203125" style="703"/>
    <col min="10565" max="10565" width="18.83203125" style="703" customWidth="1"/>
    <col min="10566" max="10770" width="10.83203125" style="703"/>
    <col min="10771" max="10771" width="3.83203125" style="703" bestFit="1" customWidth="1"/>
    <col min="10772" max="10772" width="4.33203125" style="703" bestFit="1" customWidth="1"/>
    <col min="10773" max="10773" width="3.33203125" style="703" bestFit="1" customWidth="1"/>
    <col min="10774" max="10774" width="24.5" style="703" bestFit="1" customWidth="1"/>
    <col min="10775" max="10776" width="10.83203125" style="703"/>
    <col min="10777" max="10802" width="0" style="703" hidden="1" customWidth="1"/>
    <col min="10803" max="10808" width="11.5" style="703" customWidth="1"/>
    <col min="10809" max="10809" width="13.33203125" style="703" customWidth="1"/>
    <col min="10810" max="10811" width="11.5" style="703" customWidth="1"/>
    <col min="10812" max="10812" width="5.5" style="703" customWidth="1"/>
    <col min="10813" max="10813" width="11.5" style="703" customWidth="1"/>
    <col min="10814" max="10814" width="7.5" style="703" customWidth="1"/>
    <col min="10815" max="10815" width="10.33203125" style="703" customWidth="1"/>
    <col min="10816" max="10816" width="7.5" style="703" customWidth="1"/>
    <col min="10817" max="10820" width="10.83203125" style="703"/>
    <col min="10821" max="10821" width="18.83203125" style="703" customWidth="1"/>
    <col min="10822" max="11026" width="10.83203125" style="703"/>
    <col min="11027" max="11027" width="3.83203125" style="703" bestFit="1" customWidth="1"/>
    <col min="11028" max="11028" width="4.33203125" style="703" bestFit="1" customWidth="1"/>
    <col min="11029" max="11029" width="3.33203125" style="703" bestFit="1" customWidth="1"/>
    <col min="11030" max="11030" width="24.5" style="703" bestFit="1" customWidth="1"/>
    <col min="11031" max="11032" width="10.83203125" style="703"/>
    <col min="11033" max="11058" width="0" style="703" hidden="1" customWidth="1"/>
    <col min="11059" max="11064" width="11.5" style="703" customWidth="1"/>
    <col min="11065" max="11065" width="13.33203125" style="703" customWidth="1"/>
    <col min="11066" max="11067" width="11.5" style="703" customWidth="1"/>
    <col min="11068" max="11068" width="5.5" style="703" customWidth="1"/>
    <col min="11069" max="11069" width="11.5" style="703" customWidth="1"/>
    <col min="11070" max="11070" width="7.5" style="703" customWidth="1"/>
    <col min="11071" max="11071" width="10.33203125" style="703" customWidth="1"/>
    <col min="11072" max="11072" width="7.5" style="703" customWidth="1"/>
    <col min="11073" max="11076" width="10.83203125" style="703"/>
    <col min="11077" max="11077" width="18.83203125" style="703" customWidth="1"/>
    <col min="11078" max="11282" width="10.83203125" style="703"/>
    <col min="11283" max="11283" width="3.83203125" style="703" bestFit="1" customWidth="1"/>
    <col min="11284" max="11284" width="4.33203125" style="703" bestFit="1" customWidth="1"/>
    <col min="11285" max="11285" width="3.33203125" style="703" bestFit="1" customWidth="1"/>
    <col min="11286" max="11286" width="24.5" style="703" bestFit="1" customWidth="1"/>
    <col min="11287" max="11288" width="10.83203125" style="703"/>
    <col min="11289" max="11314" width="0" style="703" hidden="1" customWidth="1"/>
    <col min="11315" max="11320" width="11.5" style="703" customWidth="1"/>
    <col min="11321" max="11321" width="13.33203125" style="703" customWidth="1"/>
    <col min="11322" max="11323" width="11.5" style="703" customWidth="1"/>
    <col min="11324" max="11324" width="5.5" style="703" customWidth="1"/>
    <col min="11325" max="11325" width="11.5" style="703" customWidth="1"/>
    <col min="11326" max="11326" width="7.5" style="703" customWidth="1"/>
    <col min="11327" max="11327" width="10.33203125" style="703" customWidth="1"/>
    <col min="11328" max="11328" width="7.5" style="703" customWidth="1"/>
    <col min="11329" max="11332" width="10.83203125" style="703"/>
    <col min="11333" max="11333" width="18.83203125" style="703" customWidth="1"/>
    <col min="11334" max="11538" width="10.83203125" style="703"/>
    <col min="11539" max="11539" width="3.83203125" style="703" bestFit="1" customWidth="1"/>
    <col min="11540" max="11540" width="4.33203125" style="703" bestFit="1" customWidth="1"/>
    <col min="11541" max="11541" width="3.33203125" style="703" bestFit="1" customWidth="1"/>
    <col min="11542" max="11542" width="24.5" style="703" bestFit="1" customWidth="1"/>
    <col min="11543" max="11544" width="10.83203125" style="703"/>
    <col min="11545" max="11570" width="0" style="703" hidden="1" customWidth="1"/>
    <col min="11571" max="11576" width="11.5" style="703" customWidth="1"/>
    <col min="11577" max="11577" width="13.33203125" style="703" customWidth="1"/>
    <col min="11578" max="11579" width="11.5" style="703" customWidth="1"/>
    <col min="11580" max="11580" width="5.5" style="703" customWidth="1"/>
    <col min="11581" max="11581" width="11.5" style="703" customWidth="1"/>
    <col min="11582" max="11582" width="7.5" style="703" customWidth="1"/>
    <col min="11583" max="11583" width="10.33203125" style="703" customWidth="1"/>
    <col min="11584" max="11584" width="7.5" style="703" customWidth="1"/>
    <col min="11585" max="11588" width="10.83203125" style="703"/>
    <col min="11589" max="11589" width="18.83203125" style="703" customWidth="1"/>
    <col min="11590" max="11794" width="10.83203125" style="703"/>
    <col min="11795" max="11795" width="3.83203125" style="703" bestFit="1" customWidth="1"/>
    <col min="11796" max="11796" width="4.33203125" style="703" bestFit="1" customWidth="1"/>
    <col min="11797" max="11797" width="3.33203125" style="703" bestFit="1" customWidth="1"/>
    <col min="11798" max="11798" width="24.5" style="703" bestFit="1" customWidth="1"/>
    <col min="11799" max="11800" width="10.83203125" style="703"/>
    <col min="11801" max="11826" width="0" style="703" hidden="1" customWidth="1"/>
    <col min="11827" max="11832" width="11.5" style="703" customWidth="1"/>
    <col min="11833" max="11833" width="13.33203125" style="703" customWidth="1"/>
    <col min="11834" max="11835" width="11.5" style="703" customWidth="1"/>
    <col min="11836" max="11836" width="5.5" style="703" customWidth="1"/>
    <col min="11837" max="11837" width="11.5" style="703" customWidth="1"/>
    <col min="11838" max="11838" width="7.5" style="703" customWidth="1"/>
    <col min="11839" max="11839" width="10.33203125" style="703" customWidth="1"/>
    <col min="11840" max="11840" width="7.5" style="703" customWidth="1"/>
    <col min="11841" max="11844" width="10.83203125" style="703"/>
    <col min="11845" max="11845" width="18.83203125" style="703" customWidth="1"/>
    <col min="11846" max="12050" width="10.83203125" style="703"/>
    <col min="12051" max="12051" width="3.83203125" style="703" bestFit="1" customWidth="1"/>
    <col min="12052" max="12052" width="4.33203125" style="703" bestFit="1" customWidth="1"/>
    <col min="12053" max="12053" width="3.33203125" style="703" bestFit="1" customWidth="1"/>
    <col min="12054" max="12054" width="24.5" style="703" bestFit="1" customWidth="1"/>
    <col min="12055" max="12056" width="10.83203125" style="703"/>
    <col min="12057" max="12082" width="0" style="703" hidden="1" customWidth="1"/>
    <col min="12083" max="12088" width="11.5" style="703" customWidth="1"/>
    <col min="12089" max="12089" width="13.33203125" style="703" customWidth="1"/>
    <col min="12090" max="12091" width="11.5" style="703" customWidth="1"/>
    <col min="12092" max="12092" width="5.5" style="703" customWidth="1"/>
    <col min="12093" max="12093" width="11.5" style="703" customWidth="1"/>
    <col min="12094" max="12094" width="7.5" style="703" customWidth="1"/>
    <col min="12095" max="12095" width="10.33203125" style="703" customWidth="1"/>
    <col min="12096" max="12096" width="7.5" style="703" customWidth="1"/>
    <col min="12097" max="12100" width="10.83203125" style="703"/>
    <col min="12101" max="12101" width="18.83203125" style="703" customWidth="1"/>
    <col min="12102" max="12306" width="10.83203125" style="703"/>
    <col min="12307" max="12307" width="3.83203125" style="703" bestFit="1" customWidth="1"/>
    <col min="12308" max="12308" width="4.33203125" style="703" bestFit="1" customWidth="1"/>
    <col min="12309" max="12309" width="3.33203125" style="703" bestFit="1" customWidth="1"/>
    <col min="12310" max="12310" width="24.5" style="703" bestFit="1" customWidth="1"/>
    <col min="12311" max="12312" width="10.83203125" style="703"/>
    <col min="12313" max="12338" width="0" style="703" hidden="1" customWidth="1"/>
    <col min="12339" max="12344" width="11.5" style="703" customWidth="1"/>
    <col min="12345" max="12345" width="13.33203125" style="703" customWidth="1"/>
    <col min="12346" max="12347" width="11.5" style="703" customWidth="1"/>
    <col min="12348" max="12348" width="5.5" style="703" customWidth="1"/>
    <col min="12349" max="12349" width="11.5" style="703" customWidth="1"/>
    <col min="12350" max="12350" width="7.5" style="703" customWidth="1"/>
    <col min="12351" max="12351" width="10.33203125" style="703" customWidth="1"/>
    <col min="12352" max="12352" width="7.5" style="703" customWidth="1"/>
    <col min="12353" max="12356" width="10.83203125" style="703"/>
    <col min="12357" max="12357" width="18.83203125" style="703" customWidth="1"/>
    <col min="12358" max="12562" width="10.83203125" style="703"/>
    <col min="12563" max="12563" width="3.83203125" style="703" bestFit="1" customWidth="1"/>
    <col min="12564" max="12564" width="4.33203125" style="703" bestFit="1" customWidth="1"/>
    <col min="12565" max="12565" width="3.33203125" style="703" bestFit="1" customWidth="1"/>
    <col min="12566" max="12566" width="24.5" style="703" bestFit="1" customWidth="1"/>
    <col min="12567" max="12568" width="10.83203125" style="703"/>
    <col min="12569" max="12594" width="0" style="703" hidden="1" customWidth="1"/>
    <col min="12595" max="12600" width="11.5" style="703" customWidth="1"/>
    <col min="12601" max="12601" width="13.33203125" style="703" customWidth="1"/>
    <col min="12602" max="12603" width="11.5" style="703" customWidth="1"/>
    <col min="12604" max="12604" width="5.5" style="703" customWidth="1"/>
    <col min="12605" max="12605" width="11.5" style="703" customWidth="1"/>
    <col min="12606" max="12606" width="7.5" style="703" customWidth="1"/>
    <col min="12607" max="12607" width="10.33203125" style="703" customWidth="1"/>
    <col min="12608" max="12608" width="7.5" style="703" customWidth="1"/>
    <col min="12609" max="12612" width="10.83203125" style="703"/>
    <col min="12613" max="12613" width="18.83203125" style="703" customWidth="1"/>
    <col min="12614" max="12818" width="10.83203125" style="703"/>
    <col min="12819" max="12819" width="3.83203125" style="703" bestFit="1" customWidth="1"/>
    <col min="12820" max="12820" width="4.33203125" style="703" bestFit="1" customWidth="1"/>
    <col min="12821" max="12821" width="3.33203125" style="703" bestFit="1" customWidth="1"/>
    <col min="12822" max="12822" width="24.5" style="703" bestFit="1" customWidth="1"/>
    <col min="12823" max="12824" width="10.83203125" style="703"/>
    <col min="12825" max="12850" width="0" style="703" hidden="1" customWidth="1"/>
    <col min="12851" max="12856" width="11.5" style="703" customWidth="1"/>
    <col min="12857" max="12857" width="13.33203125" style="703" customWidth="1"/>
    <col min="12858" max="12859" width="11.5" style="703" customWidth="1"/>
    <col min="12860" max="12860" width="5.5" style="703" customWidth="1"/>
    <col min="12861" max="12861" width="11.5" style="703" customWidth="1"/>
    <col min="12862" max="12862" width="7.5" style="703" customWidth="1"/>
    <col min="12863" max="12863" width="10.33203125" style="703" customWidth="1"/>
    <col min="12864" max="12864" width="7.5" style="703" customWidth="1"/>
    <col min="12865" max="12868" width="10.83203125" style="703"/>
    <col min="12869" max="12869" width="18.83203125" style="703" customWidth="1"/>
    <col min="12870" max="13074" width="10.83203125" style="703"/>
    <col min="13075" max="13075" width="3.83203125" style="703" bestFit="1" customWidth="1"/>
    <col min="13076" max="13076" width="4.33203125" style="703" bestFit="1" customWidth="1"/>
    <col min="13077" max="13077" width="3.33203125" style="703" bestFit="1" customWidth="1"/>
    <col min="13078" max="13078" width="24.5" style="703" bestFit="1" customWidth="1"/>
    <col min="13079" max="13080" width="10.83203125" style="703"/>
    <col min="13081" max="13106" width="0" style="703" hidden="1" customWidth="1"/>
    <col min="13107" max="13112" width="11.5" style="703" customWidth="1"/>
    <col min="13113" max="13113" width="13.33203125" style="703" customWidth="1"/>
    <col min="13114" max="13115" width="11.5" style="703" customWidth="1"/>
    <col min="13116" max="13116" width="5.5" style="703" customWidth="1"/>
    <col min="13117" max="13117" width="11.5" style="703" customWidth="1"/>
    <col min="13118" max="13118" width="7.5" style="703" customWidth="1"/>
    <col min="13119" max="13119" width="10.33203125" style="703" customWidth="1"/>
    <col min="13120" max="13120" width="7.5" style="703" customWidth="1"/>
    <col min="13121" max="13124" width="10.83203125" style="703"/>
    <col min="13125" max="13125" width="18.83203125" style="703" customWidth="1"/>
    <col min="13126" max="13330" width="10.83203125" style="703"/>
    <col min="13331" max="13331" width="3.83203125" style="703" bestFit="1" customWidth="1"/>
    <col min="13332" max="13332" width="4.33203125" style="703" bestFit="1" customWidth="1"/>
    <col min="13333" max="13333" width="3.33203125" style="703" bestFit="1" customWidth="1"/>
    <col min="13334" max="13334" width="24.5" style="703" bestFit="1" customWidth="1"/>
    <col min="13335" max="13336" width="10.83203125" style="703"/>
    <col min="13337" max="13362" width="0" style="703" hidden="1" customWidth="1"/>
    <col min="13363" max="13368" width="11.5" style="703" customWidth="1"/>
    <col min="13369" max="13369" width="13.33203125" style="703" customWidth="1"/>
    <col min="13370" max="13371" width="11.5" style="703" customWidth="1"/>
    <col min="13372" max="13372" width="5.5" style="703" customWidth="1"/>
    <col min="13373" max="13373" width="11.5" style="703" customWidth="1"/>
    <col min="13374" max="13374" width="7.5" style="703" customWidth="1"/>
    <col min="13375" max="13375" width="10.33203125" style="703" customWidth="1"/>
    <col min="13376" max="13376" width="7.5" style="703" customWidth="1"/>
    <col min="13377" max="13380" width="10.83203125" style="703"/>
    <col min="13381" max="13381" width="18.83203125" style="703" customWidth="1"/>
    <col min="13382" max="13586" width="10.83203125" style="703"/>
    <col min="13587" max="13587" width="3.83203125" style="703" bestFit="1" customWidth="1"/>
    <col min="13588" max="13588" width="4.33203125" style="703" bestFit="1" customWidth="1"/>
    <col min="13589" max="13589" width="3.33203125" style="703" bestFit="1" customWidth="1"/>
    <col min="13590" max="13590" width="24.5" style="703" bestFit="1" customWidth="1"/>
    <col min="13591" max="13592" width="10.83203125" style="703"/>
    <col min="13593" max="13618" width="0" style="703" hidden="1" customWidth="1"/>
    <col min="13619" max="13624" width="11.5" style="703" customWidth="1"/>
    <col min="13625" max="13625" width="13.33203125" style="703" customWidth="1"/>
    <col min="13626" max="13627" width="11.5" style="703" customWidth="1"/>
    <col min="13628" max="13628" width="5.5" style="703" customWidth="1"/>
    <col min="13629" max="13629" width="11.5" style="703" customWidth="1"/>
    <col min="13630" max="13630" width="7.5" style="703" customWidth="1"/>
    <col min="13631" max="13631" width="10.33203125" style="703" customWidth="1"/>
    <col min="13632" max="13632" width="7.5" style="703" customWidth="1"/>
    <col min="13633" max="13636" width="10.83203125" style="703"/>
    <col min="13637" max="13637" width="18.83203125" style="703" customWidth="1"/>
    <col min="13638" max="13842" width="10.83203125" style="703"/>
    <col min="13843" max="13843" width="3.83203125" style="703" bestFit="1" customWidth="1"/>
    <col min="13844" max="13844" width="4.33203125" style="703" bestFit="1" customWidth="1"/>
    <col min="13845" max="13845" width="3.33203125" style="703" bestFit="1" customWidth="1"/>
    <col min="13846" max="13846" width="24.5" style="703" bestFit="1" customWidth="1"/>
    <col min="13847" max="13848" width="10.83203125" style="703"/>
    <col min="13849" max="13874" width="0" style="703" hidden="1" customWidth="1"/>
    <col min="13875" max="13880" width="11.5" style="703" customWidth="1"/>
    <col min="13881" max="13881" width="13.33203125" style="703" customWidth="1"/>
    <col min="13882" max="13883" width="11.5" style="703" customWidth="1"/>
    <col min="13884" max="13884" width="5.5" style="703" customWidth="1"/>
    <col min="13885" max="13885" width="11.5" style="703" customWidth="1"/>
    <col min="13886" max="13886" width="7.5" style="703" customWidth="1"/>
    <col min="13887" max="13887" width="10.33203125" style="703" customWidth="1"/>
    <col min="13888" max="13888" width="7.5" style="703" customWidth="1"/>
    <col min="13889" max="13892" width="10.83203125" style="703"/>
    <col min="13893" max="13893" width="18.83203125" style="703" customWidth="1"/>
    <col min="13894" max="14098" width="10.83203125" style="703"/>
    <col min="14099" max="14099" width="3.83203125" style="703" bestFit="1" customWidth="1"/>
    <col min="14100" max="14100" width="4.33203125" style="703" bestFit="1" customWidth="1"/>
    <col min="14101" max="14101" width="3.33203125" style="703" bestFit="1" customWidth="1"/>
    <col min="14102" max="14102" width="24.5" style="703" bestFit="1" customWidth="1"/>
    <col min="14103" max="14104" width="10.83203125" style="703"/>
    <col min="14105" max="14130" width="0" style="703" hidden="1" customWidth="1"/>
    <col min="14131" max="14136" width="11.5" style="703" customWidth="1"/>
    <col min="14137" max="14137" width="13.33203125" style="703" customWidth="1"/>
    <col min="14138" max="14139" width="11.5" style="703" customWidth="1"/>
    <col min="14140" max="14140" width="5.5" style="703" customWidth="1"/>
    <col min="14141" max="14141" width="11.5" style="703" customWidth="1"/>
    <col min="14142" max="14142" width="7.5" style="703" customWidth="1"/>
    <col min="14143" max="14143" width="10.33203125" style="703" customWidth="1"/>
    <col min="14144" max="14144" width="7.5" style="703" customWidth="1"/>
    <col min="14145" max="14148" width="10.83203125" style="703"/>
    <col min="14149" max="14149" width="18.83203125" style="703" customWidth="1"/>
    <col min="14150" max="14354" width="10.83203125" style="703"/>
    <col min="14355" max="14355" width="3.83203125" style="703" bestFit="1" customWidth="1"/>
    <col min="14356" max="14356" width="4.33203125" style="703" bestFit="1" customWidth="1"/>
    <col min="14357" max="14357" width="3.33203125" style="703" bestFit="1" customWidth="1"/>
    <col min="14358" max="14358" width="24.5" style="703" bestFit="1" customWidth="1"/>
    <col min="14359" max="14360" width="10.83203125" style="703"/>
    <col min="14361" max="14386" width="0" style="703" hidden="1" customWidth="1"/>
    <col min="14387" max="14392" width="11.5" style="703" customWidth="1"/>
    <col min="14393" max="14393" width="13.33203125" style="703" customWidth="1"/>
    <col min="14394" max="14395" width="11.5" style="703" customWidth="1"/>
    <col min="14396" max="14396" width="5.5" style="703" customWidth="1"/>
    <col min="14397" max="14397" width="11.5" style="703" customWidth="1"/>
    <col min="14398" max="14398" width="7.5" style="703" customWidth="1"/>
    <col min="14399" max="14399" width="10.33203125" style="703" customWidth="1"/>
    <col min="14400" max="14400" width="7.5" style="703" customWidth="1"/>
    <col min="14401" max="14404" width="10.83203125" style="703"/>
    <col min="14405" max="14405" width="18.83203125" style="703" customWidth="1"/>
    <col min="14406" max="14610" width="10.83203125" style="703"/>
    <col min="14611" max="14611" width="3.83203125" style="703" bestFit="1" customWidth="1"/>
    <col min="14612" max="14612" width="4.33203125" style="703" bestFit="1" customWidth="1"/>
    <col min="14613" max="14613" width="3.33203125" style="703" bestFit="1" customWidth="1"/>
    <col min="14614" max="14614" width="24.5" style="703" bestFit="1" customWidth="1"/>
    <col min="14615" max="14616" width="10.83203125" style="703"/>
    <col min="14617" max="14642" width="0" style="703" hidden="1" customWidth="1"/>
    <col min="14643" max="14648" width="11.5" style="703" customWidth="1"/>
    <col min="14649" max="14649" width="13.33203125" style="703" customWidth="1"/>
    <col min="14650" max="14651" width="11.5" style="703" customWidth="1"/>
    <col min="14652" max="14652" width="5.5" style="703" customWidth="1"/>
    <col min="14653" max="14653" width="11.5" style="703" customWidth="1"/>
    <col min="14654" max="14654" width="7.5" style="703" customWidth="1"/>
    <col min="14655" max="14655" width="10.33203125" style="703" customWidth="1"/>
    <col min="14656" max="14656" width="7.5" style="703" customWidth="1"/>
    <col min="14657" max="14660" width="10.83203125" style="703"/>
    <col min="14661" max="14661" width="18.83203125" style="703" customWidth="1"/>
    <col min="14662" max="14866" width="10.83203125" style="703"/>
    <col min="14867" max="14867" width="3.83203125" style="703" bestFit="1" customWidth="1"/>
    <col min="14868" max="14868" width="4.33203125" style="703" bestFit="1" customWidth="1"/>
    <col min="14869" max="14869" width="3.33203125" style="703" bestFit="1" customWidth="1"/>
    <col min="14870" max="14870" width="24.5" style="703" bestFit="1" customWidth="1"/>
    <col min="14871" max="14872" width="10.83203125" style="703"/>
    <col min="14873" max="14898" width="0" style="703" hidden="1" customWidth="1"/>
    <col min="14899" max="14904" width="11.5" style="703" customWidth="1"/>
    <col min="14905" max="14905" width="13.33203125" style="703" customWidth="1"/>
    <col min="14906" max="14907" width="11.5" style="703" customWidth="1"/>
    <col min="14908" max="14908" width="5.5" style="703" customWidth="1"/>
    <col min="14909" max="14909" width="11.5" style="703" customWidth="1"/>
    <col min="14910" max="14910" width="7.5" style="703" customWidth="1"/>
    <col min="14911" max="14911" width="10.33203125" style="703" customWidth="1"/>
    <col min="14912" max="14912" width="7.5" style="703" customWidth="1"/>
    <col min="14913" max="14916" width="10.83203125" style="703"/>
    <col min="14917" max="14917" width="18.83203125" style="703" customWidth="1"/>
    <col min="14918" max="15122" width="10.83203125" style="703"/>
    <col min="15123" max="15123" width="3.83203125" style="703" bestFit="1" customWidth="1"/>
    <col min="15124" max="15124" width="4.33203125" style="703" bestFit="1" customWidth="1"/>
    <col min="15125" max="15125" width="3.33203125" style="703" bestFit="1" customWidth="1"/>
    <col min="15126" max="15126" width="24.5" style="703" bestFit="1" customWidth="1"/>
    <col min="15127" max="15128" width="10.83203125" style="703"/>
    <col min="15129" max="15154" width="0" style="703" hidden="1" customWidth="1"/>
    <col min="15155" max="15160" width="11.5" style="703" customWidth="1"/>
    <col min="15161" max="15161" width="13.33203125" style="703" customWidth="1"/>
    <col min="15162" max="15163" width="11.5" style="703" customWidth="1"/>
    <col min="15164" max="15164" width="5.5" style="703" customWidth="1"/>
    <col min="15165" max="15165" width="11.5" style="703" customWidth="1"/>
    <col min="15166" max="15166" width="7.5" style="703" customWidth="1"/>
    <col min="15167" max="15167" width="10.33203125" style="703" customWidth="1"/>
    <col min="15168" max="15168" width="7.5" style="703" customWidth="1"/>
    <col min="15169" max="15172" width="10.83203125" style="703"/>
    <col min="15173" max="15173" width="18.83203125" style="703" customWidth="1"/>
    <col min="15174" max="15378" width="10.83203125" style="703"/>
    <col min="15379" max="15379" width="3.83203125" style="703" bestFit="1" customWidth="1"/>
    <col min="15380" max="15380" width="4.33203125" style="703" bestFit="1" customWidth="1"/>
    <col min="15381" max="15381" width="3.33203125" style="703" bestFit="1" customWidth="1"/>
    <col min="15382" max="15382" width="24.5" style="703" bestFit="1" customWidth="1"/>
    <col min="15383" max="15384" width="10.83203125" style="703"/>
    <col min="15385" max="15410" width="0" style="703" hidden="1" customWidth="1"/>
    <col min="15411" max="15416" width="11.5" style="703" customWidth="1"/>
    <col min="15417" max="15417" width="13.33203125" style="703" customWidth="1"/>
    <col min="15418" max="15419" width="11.5" style="703" customWidth="1"/>
    <col min="15420" max="15420" width="5.5" style="703" customWidth="1"/>
    <col min="15421" max="15421" width="11.5" style="703" customWidth="1"/>
    <col min="15422" max="15422" width="7.5" style="703" customWidth="1"/>
    <col min="15423" max="15423" width="10.33203125" style="703" customWidth="1"/>
    <col min="15424" max="15424" width="7.5" style="703" customWidth="1"/>
    <col min="15425" max="15428" width="10.83203125" style="703"/>
    <col min="15429" max="15429" width="18.83203125" style="703" customWidth="1"/>
    <col min="15430" max="15634" width="10.83203125" style="703"/>
    <col min="15635" max="15635" width="3.83203125" style="703" bestFit="1" customWidth="1"/>
    <col min="15636" max="15636" width="4.33203125" style="703" bestFit="1" customWidth="1"/>
    <col min="15637" max="15637" width="3.33203125" style="703" bestFit="1" customWidth="1"/>
    <col min="15638" max="15638" width="24.5" style="703" bestFit="1" customWidth="1"/>
    <col min="15639" max="15640" width="10.83203125" style="703"/>
    <col min="15641" max="15666" width="0" style="703" hidden="1" customWidth="1"/>
    <col min="15667" max="15672" width="11.5" style="703" customWidth="1"/>
    <col min="15673" max="15673" width="13.33203125" style="703" customWidth="1"/>
    <col min="15674" max="15675" width="11.5" style="703" customWidth="1"/>
    <col min="15676" max="15676" width="5.5" style="703" customWidth="1"/>
    <col min="15677" max="15677" width="11.5" style="703" customWidth="1"/>
    <col min="15678" max="15678" width="7.5" style="703" customWidth="1"/>
    <col min="15679" max="15679" width="10.33203125" style="703" customWidth="1"/>
    <col min="15680" max="15680" width="7.5" style="703" customWidth="1"/>
    <col min="15681" max="15684" width="10.83203125" style="703"/>
    <col min="15685" max="15685" width="18.83203125" style="703" customWidth="1"/>
    <col min="15686" max="15890" width="10.83203125" style="703"/>
    <col min="15891" max="15891" width="3.83203125" style="703" bestFit="1" customWidth="1"/>
    <col min="15892" max="15892" width="4.33203125" style="703" bestFit="1" customWidth="1"/>
    <col min="15893" max="15893" width="3.33203125" style="703" bestFit="1" customWidth="1"/>
    <col min="15894" max="15894" width="24.5" style="703" bestFit="1" customWidth="1"/>
    <col min="15895" max="15896" width="10.83203125" style="703"/>
    <col min="15897" max="15922" width="0" style="703" hidden="1" customWidth="1"/>
    <col min="15923" max="15928" width="11.5" style="703" customWidth="1"/>
    <col min="15929" max="15929" width="13.33203125" style="703" customWidth="1"/>
    <col min="15930" max="15931" width="11.5" style="703" customWidth="1"/>
    <col min="15932" max="15932" width="5.5" style="703" customWidth="1"/>
    <col min="15933" max="15933" width="11.5" style="703" customWidth="1"/>
    <col min="15934" max="15934" width="7.5" style="703" customWidth="1"/>
    <col min="15935" max="15935" width="10.33203125" style="703" customWidth="1"/>
    <col min="15936" max="15936" width="7.5" style="703" customWidth="1"/>
    <col min="15937" max="15940" width="10.83203125" style="703"/>
    <col min="15941" max="15941" width="18.83203125" style="703" customWidth="1"/>
    <col min="15942" max="16384" width="10.83203125" style="703"/>
  </cols>
  <sheetData>
    <row r="1" spans="1:71" ht="76.5" customHeight="1">
      <c r="A1" s="691" t="s">
        <v>170</v>
      </c>
      <c r="B1" s="691" t="s">
        <v>0</v>
      </c>
      <c r="C1" s="691" t="s">
        <v>1</v>
      </c>
      <c r="D1" s="692" t="s">
        <v>2</v>
      </c>
      <c r="E1" s="692" t="s">
        <v>3</v>
      </c>
      <c r="F1" s="692" t="s">
        <v>4</v>
      </c>
      <c r="G1" s="692" t="s">
        <v>5</v>
      </c>
      <c r="H1" s="693" t="s">
        <v>6</v>
      </c>
      <c r="I1" s="692" t="s">
        <v>7</v>
      </c>
      <c r="J1" s="693" t="s">
        <v>8</v>
      </c>
      <c r="K1" s="692" t="s">
        <v>9</v>
      </c>
      <c r="L1" s="692" t="s">
        <v>10</v>
      </c>
      <c r="M1" s="692" t="s">
        <v>11</v>
      </c>
      <c r="N1" s="694" t="s">
        <v>12</v>
      </c>
      <c r="O1" s="695" t="s">
        <v>1034</v>
      </c>
      <c r="P1" s="695" t="s">
        <v>857</v>
      </c>
      <c r="Q1" s="695" t="s">
        <v>838</v>
      </c>
      <c r="R1" s="695" t="s">
        <v>839</v>
      </c>
      <c r="S1" s="695" t="s">
        <v>707</v>
      </c>
      <c r="T1" s="695" t="s">
        <v>319</v>
      </c>
      <c r="U1" s="696" t="s">
        <v>298</v>
      </c>
      <c r="V1" s="696" t="s">
        <v>273</v>
      </c>
      <c r="W1" s="696" t="s">
        <v>251</v>
      </c>
      <c r="X1" s="696" t="s">
        <v>239</v>
      </c>
      <c r="Y1" s="696" t="s">
        <v>233</v>
      </c>
      <c r="Z1" s="696" t="s">
        <v>233</v>
      </c>
      <c r="AA1" s="696" t="s">
        <v>218</v>
      </c>
      <c r="AB1" s="696" t="s">
        <v>183</v>
      </c>
      <c r="AC1" s="696" t="s">
        <v>13</v>
      </c>
      <c r="AD1" s="696" t="s">
        <v>14</v>
      </c>
      <c r="AE1" s="696" t="s">
        <v>15</v>
      </c>
      <c r="AF1" s="696" t="s">
        <v>16</v>
      </c>
      <c r="AG1" s="696" t="s">
        <v>17</v>
      </c>
      <c r="AH1" s="696" t="s">
        <v>18</v>
      </c>
      <c r="AI1" s="696" t="s">
        <v>19</v>
      </c>
      <c r="AJ1" s="696" t="s">
        <v>20</v>
      </c>
      <c r="AK1" s="697" t="s">
        <v>21</v>
      </c>
      <c r="AL1" s="696" t="s">
        <v>622</v>
      </c>
      <c r="AM1" s="698" t="s">
        <v>22</v>
      </c>
      <c r="AN1" s="698" t="s">
        <v>23</v>
      </c>
      <c r="AO1" s="698" t="s">
        <v>623</v>
      </c>
      <c r="AP1" s="698" t="s">
        <v>25</v>
      </c>
      <c r="AQ1" s="699" t="s">
        <v>616</v>
      </c>
      <c r="AR1" s="699" t="s">
        <v>615</v>
      </c>
      <c r="AS1" s="698" t="s">
        <v>620</v>
      </c>
      <c r="AT1" s="698" t="s">
        <v>614</v>
      </c>
      <c r="AU1" s="698" t="s">
        <v>619</v>
      </c>
      <c r="AV1" s="698" t="s">
        <v>621</v>
      </c>
      <c r="AW1" s="698" t="s">
        <v>618</v>
      </c>
      <c r="AX1" s="698" t="s">
        <v>617</v>
      </c>
      <c r="AY1" s="698" t="s">
        <v>841</v>
      </c>
      <c r="AZ1" s="698" t="s">
        <v>26</v>
      </c>
      <c r="BA1" s="696" t="s">
        <v>27</v>
      </c>
      <c r="BB1" s="700" t="s">
        <v>28</v>
      </c>
      <c r="BC1" s="698" t="s">
        <v>29</v>
      </c>
      <c r="BD1" s="698" t="s">
        <v>30</v>
      </c>
      <c r="BE1" s="698" t="s">
        <v>1041</v>
      </c>
      <c r="BF1" s="698" t="s">
        <v>31</v>
      </c>
      <c r="BG1" s="698" t="s">
        <v>32</v>
      </c>
      <c r="BH1" s="698" t="s">
        <v>33</v>
      </c>
      <c r="BI1" s="698" t="s">
        <v>34</v>
      </c>
      <c r="BJ1" s="698" t="s">
        <v>35</v>
      </c>
      <c r="BK1" s="698" t="s">
        <v>300</v>
      </c>
      <c r="BL1" s="698" t="s">
        <v>299</v>
      </c>
      <c r="BM1" s="701" t="s">
        <v>219</v>
      </c>
      <c r="BN1" s="698" t="s">
        <v>36</v>
      </c>
      <c r="BO1" s="691" t="s">
        <v>37</v>
      </c>
      <c r="BP1" s="691" t="s">
        <v>38</v>
      </c>
      <c r="BQ1" s="702" t="s">
        <v>39</v>
      </c>
      <c r="BR1" s="703" t="s">
        <v>1060</v>
      </c>
      <c r="BS1" s="703" t="s">
        <v>1061</v>
      </c>
    </row>
    <row r="2" spans="1:71">
      <c r="A2" s="704" t="s">
        <v>40</v>
      </c>
      <c r="B2" s="705">
        <v>1</v>
      </c>
      <c r="C2" s="706"/>
      <c r="D2" s="707" t="s">
        <v>261</v>
      </c>
      <c r="E2" s="706" t="s">
        <v>262</v>
      </c>
      <c r="F2" s="708">
        <v>43221</v>
      </c>
      <c r="G2" s="706" t="s">
        <v>322</v>
      </c>
      <c r="H2" s="709">
        <v>70619</v>
      </c>
      <c r="I2" s="710" t="s">
        <v>323</v>
      </c>
      <c r="J2" s="711"/>
      <c r="K2" s="712" t="s">
        <v>324</v>
      </c>
      <c r="L2" s="706" t="s">
        <v>325</v>
      </c>
      <c r="M2" s="713">
        <v>32160</v>
      </c>
      <c r="N2" s="714" t="s">
        <v>326</v>
      </c>
      <c r="O2" s="714">
        <v>114.075</v>
      </c>
      <c r="P2" s="714">
        <v>92.451999999999998</v>
      </c>
      <c r="Q2" s="714">
        <v>53.558</v>
      </c>
      <c r="R2" s="714">
        <v>0.25</v>
      </c>
      <c r="S2" s="714">
        <v>96.198999999999998</v>
      </c>
      <c r="T2" s="714">
        <v>78.944999999999993</v>
      </c>
      <c r="U2" s="714">
        <v>57.426000000000002</v>
      </c>
      <c r="V2" s="714">
        <v>43.456000000000003</v>
      </c>
      <c r="W2" s="714">
        <v>15.013999999999999</v>
      </c>
      <c r="X2" s="714">
        <v>10.627000000000001</v>
      </c>
      <c r="Y2" s="714">
        <v>8.25</v>
      </c>
      <c r="Z2" s="714">
        <v>0.05</v>
      </c>
      <c r="AA2" s="714">
        <v>21.663</v>
      </c>
      <c r="AB2" s="714">
        <v>16.850000000000001</v>
      </c>
      <c r="AC2" s="704">
        <v>15.436</v>
      </c>
      <c r="AD2" s="704">
        <v>15.294</v>
      </c>
      <c r="AE2" s="704">
        <v>9.8469999999999995</v>
      </c>
      <c r="AF2" s="715">
        <v>7.016</v>
      </c>
      <c r="AG2" s="704"/>
      <c r="AH2" s="715"/>
      <c r="AI2" s="715"/>
      <c r="AJ2" s="716" t="e">
        <f>#REF!+#REF!</f>
        <v>#REF!</v>
      </c>
      <c r="AK2" s="704"/>
      <c r="AL2" s="717">
        <f xml:space="preserve"> O2-P2</f>
        <v>21.623000000000005</v>
      </c>
      <c r="AM2" s="718">
        <v>2.5099999999999998</v>
      </c>
      <c r="AN2" s="718">
        <v>1.74</v>
      </c>
      <c r="AO2" s="718">
        <f>3.43*AL2</f>
        <v>74.166890000000024</v>
      </c>
      <c r="AP2" s="718">
        <f>AM2+AN2+AO2</f>
        <v>78.416890000000024</v>
      </c>
      <c r="AQ2" s="719">
        <v>4.5999999999999996</v>
      </c>
      <c r="AR2" s="719">
        <v>3.9999999999999996</v>
      </c>
      <c r="AS2" s="716">
        <v>28</v>
      </c>
      <c r="AT2" s="716">
        <v>0.6</v>
      </c>
      <c r="AU2" s="716">
        <v>28</v>
      </c>
      <c r="AV2" s="716">
        <f>AT2*AU2</f>
        <v>16.8</v>
      </c>
      <c r="AW2" s="716">
        <f>AR2*AS2</f>
        <v>111.99999999999999</v>
      </c>
      <c r="AX2" s="716">
        <f>AQ2*AS2</f>
        <v>128.79999999999998</v>
      </c>
      <c r="AY2" s="716">
        <f>AX2-(AV2+AW2)</f>
        <v>0</v>
      </c>
      <c r="AZ2" s="716">
        <v>100</v>
      </c>
      <c r="BA2" s="716"/>
      <c r="BB2" s="720">
        <v>8500</v>
      </c>
      <c r="BC2" s="716">
        <v>40</v>
      </c>
      <c r="BD2" s="716">
        <v>10</v>
      </c>
      <c r="BE2" s="716">
        <v>80</v>
      </c>
      <c r="BF2" s="716"/>
      <c r="BG2" s="716"/>
      <c r="BH2" s="716"/>
      <c r="BI2" s="716"/>
      <c r="BJ2" s="716"/>
      <c r="BK2" s="716"/>
      <c r="BL2" s="716"/>
      <c r="BM2" s="721"/>
      <c r="BN2" s="722">
        <f>AP2+AW2+AV2+AZ2+BA2+BC2+BD2+BE2+BF2+BG2+BH2+BI2+BJ2+BM2+BL2</f>
        <v>437.21689000000003</v>
      </c>
      <c r="BO2" s="723"/>
      <c r="BP2" s="723"/>
      <c r="BQ2" s="724"/>
      <c r="BR2" s="703">
        <f>AR2*100</f>
        <v>399.99999999999994</v>
      </c>
      <c r="BS2" s="703">
        <f>154</f>
        <v>154</v>
      </c>
    </row>
    <row r="3" spans="1:71">
      <c r="A3" s="704" t="s">
        <v>40</v>
      </c>
      <c r="B3" s="705">
        <v>2</v>
      </c>
      <c r="C3" s="706"/>
      <c r="D3" s="707" t="s">
        <v>743</v>
      </c>
      <c r="E3" s="706" t="s">
        <v>744</v>
      </c>
      <c r="F3" s="708">
        <v>44896</v>
      </c>
      <c r="G3" s="706" t="s">
        <v>745</v>
      </c>
      <c r="H3" s="709">
        <v>70619</v>
      </c>
      <c r="I3" s="710" t="s">
        <v>323</v>
      </c>
      <c r="J3" s="711"/>
      <c r="K3" s="725" t="s">
        <v>746</v>
      </c>
      <c r="L3" s="706" t="s">
        <v>747</v>
      </c>
      <c r="M3" s="713">
        <v>31625</v>
      </c>
      <c r="N3" s="714" t="s">
        <v>748</v>
      </c>
      <c r="O3" s="714">
        <v>18.382999999999999</v>
      </c>
      <c r="P3" s="714">
        <v>13.12</v>
      </c>
      <c r="Q3" s="714">
        <v>5.6529999999999996</v>
      </c>
      <c r="R3" s="714">
        <v>0.25</v>
      </c>
      <c r="S3" s="714">
        <v>44.395000000000003</v>
      </c>
      <c r="T3" s="714">
        <v>34.615000000000002</v>
      </c>
      <c r="U3" s="714">
        <v>18.579999999999998</v>
      </c>
      <c r="V3" s="714">
        <v>4.9119999999999999</v>
      </c>
      <c r="W3" s="714"/>
      <c r="X3" s="714"/>
      <c r="Y3" s="714"/>
      <c r="Z3" s="714"/>
      <c r="AA3" s="714"/>
      <c r="AB3" s="714"/>
      <c r="AC3" s="704"/>
      <c r="AD3" s="704"/>
      <c r="AE3" s="704"/>
      <c r="AF3" s="715"/>
      <c r="AG3" s="704"/>
      <c r="AH3" s="715"/>
      <c r="AI3" s="715"/>
      <c r="AJ3" s="716" t="e">
        <f>#REF!+#REF!</f>
        <v>#REF!</v>
      </c>
      <c r="AK3" s="704"/>
      <c r="AL3" s="717">
        <f t="shared" ref="AL3:AL54" si="0" xml:space="preserve"> O3-P3</f>
        <v>5.2629999999999999</v>
      </c>
      <c r="AM3" s="718">
        <v>2.5099999999999998</v>
      </c>
      <c r="AN3" s="718">
        <v>1.74</v>
      </c>
      <c r="AO3" s="718">
        <f t="shared" ref="AO3:AO57" si="1">3.43*AL3</f>
        <v>18.05209</v>
      </c>
      <c r="AP3" s="718">
        <f t="shared" ref="AP3:AP57" si="2">AM3+AN3+AO3</f>
        <v>22.30209</v>
      </c>
      <c r="AQ3" s="719">
        <v>4.0999999999999996</v>
      </c>
      <c r="AR3" s="719">
        <v>3.4999999999999996</v>
      </c>
      <c r="AS3" s="716">
        <v>28</v>
      </c>
      <c r="AT3" s="716">
        <v>0.6</v>
      </c>
      <c r="AU3" s="716">
        <v>28</v>
      </c>
      <c r="AV3" s="716">
        <f t="shared" ref="AV3:AV61" si="3">AT3*AU3</f>
        <v>16.8</v>
      </c>
      <c r="AW3" s="716">
        <f t="shared" ref="AW3:AW61" si="4">AR3*AS3</f>
        <v>97.999999999999986</v>
      </c>
      <c r="AX3" s="716">
        <f t="shared" ref="AX3" si="5">AQ3*AS3</f>
        <v>114.79999999999998</v>
      </c>
      <c r="AY3" s="716">
        <f>AX3-(AV3+AW3)</f>
        <v>0</v>
      </c>
      <c r="AZ3" s="716">
        <v>100</v>
      </c>
      <c r="BA3" s="716"/>
      <c r="BB3" s="720">
        <v>10000</v>
      </c>
      <c r="BC3" s="716">
        <v>52</v>
      </c>
      <c r="BD3" s="716">
        <v>10</v>
      </c>
      <c r="BE3" s="716">
        <v>80</v>
      </c>
      <c r="BF3" s="716"/>
      <c r="BG3" s="716"/>
      <c r="BH3" s="716"/>
      <c r="BI3" s="716"/>
      <c r="BJ3" s="716"/>
      <c r="BK3" s="716"/>
      <c r="BL3" s="716"/>
      <c r="BM3" s="721"/>
      <c r="BN3" s="722">
        <f t="shared" ref="BN3:BN57" si="6">AP3+AW3+AV3+AZ3+BA3+BC3+BD3+BE3+BF3+BG3+BH3+BI3+BJ3+BM3+BL3</f>
        <v>379.10208999999998</v>
      </c>
      <c r="BO3" s="723"/>
      <c r="BP3" s="723"/>
      <c r="BQ3" s="724"/>
      <c r="BR3" s="703">
        <f t="shared" ref="BR3:BR62" si="7">AR3*100</f>
        <v>349.99999999999994</v>
      </c>
      <c r="BS3" s="703">
        <f>BS2+1</f>
        <v>155</v>
      </c>
    </row>
    <row r="4" spans="1:71">
      <c r="A4" s="704" t="s">
        <v>40</v>
      </c>
      <c r="B4" s="705">
        <v>3</v>
      </c>
      <c r="C4" s="707"/>
      <c r="D4" s="707" t="s">
        <v>41</v>
      </c>
      <c r="E4" s="706" t="s">
        <v>42</v>
      </c>
      <c r="F4" s="708">
        <v>33604</v>
      </c>
      <c r="G4" s="706" t="s">
        <v>327</v>
      </c>
      <c r="H4" s="709">
        <v>70599</v>
      </c>
      <c r="I4" s="710" t="s">
        <v>323</v>
      </c>
      <c r="J4" s="711" t="s">
        <v>328</v>
      </c>
      <c r="K4" s="725"/>
      <c r="L4" s="706" t="s">
        <v>329</v>
      </c>
      <c r="M4" s="708">
        <v>14370</v>
      </c>
      <c r="N4" s="714"/>
      <c r="O4" s="714">
        <v>20.193000000000001</v>
      </c>
      <c r="P4" s="714">
        <v>20.138999999999999</v>
      </c>
      <c r="Q4" s="714">
        <v>14.785</v>
      </c>
      <c r="R4" s="714">
        <v>0.25</v>
      </c>
      <c r="S4" s="714">
        <v>31.623000000000001</v>
      </c>
      <c r="T4" s="714">
        <v>30.266999999999999</v>
      </c>
      <c r="U4" s="714">
        <v>23.619</v>
      </c>
      <c r="V4" s="714">
        <v>19.414999999999999</v>
      </c>
      <c r="W4" s="714">
        <v>13.172000000000001</v>
      </c>
      <c r="X4" s="714">
        <v>10.374000000000001</v>
      </c>
      <c r="Y4" s="714">
        <v>6</v>
      </c>
      <c r="Z4" s="714">
        <v>0.05</v>
      </c>
      <c r="AA4" s="714">
        <v>16.885000000000002</v>
      </c>
      <c r="AB4" s="714">
        <v>14.13</v>
      </c>
      <c r="AC4" s="704">
        <v>10.956</v>
      </c>
      <c r="AD4" s="704">
        <v>8.9339999999999993</v>
      </c>
      <c r="AE4" s="704">
        <v>4.0339999999999998</v>
      </c>
      <c r="AF4" s="715">
        <v>1.9890000000000001</v>
      </c>
      <c r="AG4" s="704"/>
      <c r="AH4" s="715"/>
      <c r="AI4" s="715"/>
      <c r="AJ4" s="716" t="e">
        <f>(#REF!+#REF!)-#REF!</f>
        <v>#REF!</v>
      </c>
      <c r="AK4" s="704"/>
      <c r="AL4" s="717">
        <f t="shared" si="0"/>
        <v>5.4000000000002046E-2</v>
      </c>
      <c r="AM4" s="718">
        <v>2.5099999999999998</v>
      </c>
      <c r="AN4" s="718">
        <v>1.74</v>
      </c>
      <c r="AO4" s="718">
        <f t="shared" si="1"/>
        <v>0.18522000000000702</v>
      </c>
      <c r="AP4" s="718">
        <f t="shared" si="2"/>
        <v>4.4352200000000073</v>
      </c>
      <c r="AR4" s="719">
        <v>3.4999999999999996</v>
      </c>
      <c r="BE4" s="716"/>
      <c r="BF4" s="716"/>
      <c r="BG4" s="716"/>
      <c r="BH4" s="716"/>
      <c r="BI4" s="716"/>
      <c r="BJ4" s="716"/>
      <c r="BK4" s="716"/>
      <c r="BL4" s="716"/>
      <c r="BM4" s="721">
        <v>120</v>
      </c>
      <c r="BN4" s="722">
        <f t="shared" si="6"/>
        <v>124.43522</v>
      </c>
      <c r="BO4" s="723"/>
      <c r="BP4" s="723"/>
      <c r="BQ4" s="724"/>
      <c r="BR4" s="703">
        <f t="shared" si="7"/>
        <v>349.99999999999994</v>
      </c>
      <c r="BS4" s="703">
        <f t="shared" ref="BS4:BS63" si="8">BS3+1</f>
        <v>156</v>
      </c>
    </row>
    <row r="5" spans="1:71">
      <c r="A5" s="704" t="s">
        <v>40</v>
      </c>
      <c r="B5" s="705">
        <v>4</v>
      </c>
      <c r="C5" s="706"/>
      <c r="D5" s="707" t="s">
        <v>171</v>
      </c>
      <c r="E5" s="706" t="s">
        <v>172</v>
      </c>
      <c r="F5" s="708">
        <v>41640</v>
      </c>
      <c r="G5" s="706" t="s">
        <v>330</v>
      </c>
      <c r="H5" s="709">
        <v>70188</v>
      </c>
      <c r="I5" s="710" t="s">
        <v>323</v>
      </c>
      <c r="J5" s="711">
        <v>2622637</v>
      </c>
      <c r="K5" s="725"/>
      <c r="L5" s="706" t="s">
        <v>858</v>
      </c>
      <c r="M5" s="727"/>
      <c r="N5" s="714"/>
      <c r="O5" s="714">
        <v>33.750999999999998</v>
      </c>
      <c r="P5" s="714">
        <v>30.111000000000001</v>
      </c>
      <c r="Q5" s="714">
        <v>13.451000000000001</v>
      </c>
      <c r="R5" s="714">
        <v>0.25</v>
      </c>
      <c r="S5" s="714">
        <v>100.24</v>
      </c>
      <c r="T5" s="714">
        <v>97.019000000000005</v>
      </c>
      <c r="U5" s="714">
        <v>77.935000000000002</v>
      </c>
      <c r="V5" s="714">
        <v>66.412999999999997</v>
      </c>
      <c r="W5" s="714">
        <v>46.073999999999998</v>
      </c>
      <c r="X5" s="714">
        <v>34.478999999999999</v>
      </c>
      <c r="Y5" s="714">
        <v>24.52</v>
      </c>
      <c r="Z5" s="714">
        <v>0.05</v>
      </c>
      <c r="AA5" s="714">
        <v>75.168000000000006</v>
      </c>
      <c r="AB5" s="714">
        <v>64.56</v>
      </c>
      <c r="AC5" s="704">
        <v>54.661999999999999</v>
      </c>
      <c r="AD5" s="704">
        <v>41.771000000000001</v>
      </c>
      <c r="AE5" s="704">
        <v>29.198</v>
      </c>
      <c r="AF5" s="715">
        <v>19.495000000000001</v>
      </c>
      <c r="AG5" s="704"/>
      <c r="AH5" s="715"/>
      <c r="AI5" s="715"/>
      <c r="AJ5" s="716"/>
      <c r="AK5" s="704"/>
      <c r="AL5" s="717">
        <f t="shared" si="0"/>
        <v>3.639999999999997</v>
      </c>
      <c r="AM5" s="718">
        <v>2.5099999999999998</v>
      </c>
      <c r="AN5" s="718">
        <v>1.74</v>
      </c>
      <c r="AO5" s="718">
        <f t="shared" si="1"/>
        <v>12.48519999999999</v>
      </c>
      <c r="AP5" s="718">
        <f t="shared" si="2"/>
        <v>16.735199999999992</v>
      </c>
      <c r="AQ5" s="719">
        <v>4.5999999999999996</v>
      </c>
      <c r="AR5" s="719">
        <v>3.9999999999999996</v>
      </c>
      <c r="AS5" s="716">
        <v>28</v>
      </c>
      <c r="AT5" s="716">
        <v>0.6</v>
      </c>
      <c r="AU5" s="716">
        <v>28</v>
      </c>
      <c r="AV5" s="716">
        <f t="shared" ref="AV5:AV7" si="9">AT5*AU5</f>
        <v>16.8</v>
      </c>
      <c r="AW5" s="716">
        <f t="shared" si="4"/>
        <v>111.99999999999999</v>
      </c>
      <c r="AX5" s="716">
        <f t="shared" ref="AX5" si="10">AQ5*AS5</f>
        <v>128.79999999999998</v>
      </c>
      <c r="AY5" s="716">
        <f t="shared" ref="AY5:AY61" si="11">AX5-(AV5+AW5)</f>
        <v>0</v>
      </c>
      <c r="AZ5" s="716">
        <v>100</v>
      </c>
      <c r="BA5" s="716"/>
      <c r="BB5" s="720">
        <v>10000</v>
      </c>
      <c r="BC5" s="716">
        <v>52</v>
      </c>
      <c r="BD5" s="716">
        <v>10</v>
      </c>
      <c r="BE5" s="716">
        <v>80</v>
      </c>
      <c r="BF5" s="716"/>
      <c r="BG5" s="716"/>
      <c r="BH5" s="716"/>
      <c r="BI5" s="716"/>
      <c r="BJ5" s="716"/>
      <c r="BK5" s="716"/>
      <c r="BL5" s="716"/>
      <c r="BM5" s="721">
        <v>60</v>
      </c>
      <c r="BN5" s="722">
        <f t="shared" si="6"/>
        <v>447.53519999999997</v>
      </c>
      <c r="BO5" s="723"/>
      <c r="BP5" s="723"/>
      <c r="BQ5" s="724"/>
      <c r="BR5" s="703">
        <f t="shared" si="7"/>
        <v>399.99999999999994</v>
      </c>
      <c r="BS5" s="703">
        <f t="shared" si="8"/>
        <v>157</v>
      </c>
    </row>
    <row r="6" spans="1:71">
      <c r="A6" s="704" t="s">
        <v>40</v>
      </c>
      <c r="B6" s="705">
        <v>5</v>
      </c>
      <c r="C6" s="706"/>
      <c r="D6" s="707" t="s">
        <v>859</v>
      </c>
      <c r="E6" s="706" t="s">
        <v>860</v>
      </c>
      <c r="F6" s="708">
        <v>45261</v>
      </c>
      <c r="G6" s="706" t="s">
        <v>861</v>
      </c>
      <c r="H6" s="709">
        <v>70185</v>
      </c>
      <c r="I6" s="710" t="s">
        <v>323</v>
      </c>
      <c r="J6" s="711"/>
      <c r="K6" s="725" t="s">
        <v>862</v>
      </c>
      <c r="L6" s="706" t="s">
        <v>863</v>
      </c>
      <c r="M6" s="727">
        <v>31967</v>
      </c>
      <c r="N6" s="714" t="s">
        <v>864</v>
      </c>
      <c r="O6" s="714">
        <v>25.936</v>
      </c>
      <c r="P6" s="714">
        <v>22.643999999999998</v>
      </c>
      <c r="Q6" s="714"/>
      <c r="R6" s="714"/>
      <c r="S6" s="714"/>
      <c r="T6" s="714"/>
      <c r="U6" s="714"/>
      <c r="V6" s="714"/>
      <c r="W6" s="714"/>
      <c r="X6" s="714"/>
      <c r="Y6" s="714"/>
      <c r="Z6" s="714"/>
      <c r="AA6" s="714"/>
      <c r="AB6" s="714"/>
      <c r="AC6" s="704"/>
      <c r="AD6" s="704"/>
      <c r="AE6" s="704"/>
      <c r="AF6" s="715"/>
      <c r="AG6" s="704"/>
      <c r="AH6" s="715"/>
      <c r="AI6" s="715"/>
      <c r="AJ6" s="716"/>
      <c r="AK6" s="704"/>
      <c r="AL6" s="717">
        <f t="shared" si="0"/>
        <v>3.2920000000000016</v>
      </c>
      <c r="AM6" s="718">
        <v>2.5099999999999998</v>
      </c>
      <c r="AN6" s="718">
        <v>1.74</v>
      </c>
      <c r="AO6" s="718">
        <f t="shared" si="1"/>
        <v>11.291560000000006</v>
      </c>
      <c r="AP6" s="718">
        <f t="shared" si="2"/>
        <v>15.541560000000006</v>
      </c>
      <c r="AQ6" s="719">
        <v>5</v>
      </c>
      <c r="AR6" s="719">
        <v>4.4000000000000004</v>
      </c>
      <c r="AS6" s="716">
        <v>28</v>
      </c>
      <c r="AT6" s="716">
        <v>0.6</v>
      </c>
      <c r="AU6" s="716">
        <v>28</v>
      </c>
      <c r="AV6" s="716">
        <f t="shared" si="9"/>
        <v>16.8</v>
      </c>
      <c r="AW6" s="716">
        <f>(AR6*AS6)</f>
        <v>123.20000000000002</v>
      </c>
      <c r="AX6" s="716">
        <f>AQ6*28</f>
        <v>140</v>
      </c>
      <c r="AY6" s="716">
        <f t="shared" si="11"/>
        <v>0</v>
      </c>
      <c r="AZ6" s="716">
        <f>100+(100/12)</f>
        <v>108.33333333333333</v>
      </c>
      <c r="BA6" s="716">
        <v>32.5</v>
      </c>
      <c r="BB6" s="720">
        <v>10000</v>
      </c>
      <c r="BC6" s="716">
        <f>52+(52/12)</f>
        <v>56.333333333333336</v>
      </c>
      <c r="BD6" s="716">
        <v>10</v>
      </c>
      <c r="BE6" s="716">
        <v>80</v>
      </c>
      <c r="BF6" s="716"/>
      <c r="BG6" s="716"/>
      <c r="BH6" s="716">
        <v>150</v>
      </c>
      <c r="BI6" s="716">
        <v>60</v>
      </c>
      <c r="BJ6" s="716"/>
      <c r="BK6" s="716"/>
      <c r="BL6" s="716"/>
      <c r="BM6" s="721"/>
      <c r="BN6" s="722">
        <f t="shared" si="6"/>
        <v>652.70822666666663</v>
      </c>
      <c r="BO6" s="723"/>
      <c r="BP6" s="723"/>
      <c r="BQ6" s="724"/>
      <c r="BR6" s="703">
        <f t="shared" si="7"/>
        <v>440.00000000000006</v>
      </c>
      <c r="BS6" s="703">
        <f t="shared" si="8"/>
        <v>158</v>
      </c>
    </row>
    <row r="7" spans="1:71" ht="18" customHeight="1">
      <c r="A7" s="704" t="s">
        <v>40</v>
      </c>
      <c r="B7" s="705">
        <v>6</v>
      </c>
      <c r="C7" s="706"/>
      <c r="D7" s="707" t="s">
        <v>43</v>
      </c>
      <c r="E7" s="706" t="s">
        <v>44</v>
      </c>
      <c r="F7" s="708">
        <v>40179</v>
      </c>
      <c r="G7" s="706" t="s">
        <v>331</v>
      </c>
      <c r="H7" s="709">
        <v>70619</v>
      </c>
      <c r="I7" s="710" t="s">
        <v>323</v>
      </c>
      <c r="J7" s="711">
        <v>6153880</v>
      </c>
      <c r="K7" s="725"/>
      <c r="L7" s="706"/>
      <c r="M7" s="713">
        <v>15165</v>
      </c>
      <c r="N7" s="714"/>
      <c r="O7" s="714">
        <v>1.871</v>
      </c>
      <c r="P7" s="714">
        <v>1.7969999999999999</v>
      </c>
      <c r="Q7" s="714">
        <v>1.0580000000000001</v>
      </c>
      <c r="R7" s="714">
        <v>0.25</v>
      </c>
      <c r="S7" s="714">
        <v>16.975999999999999</v>
      </c>
      <c r="T7" s="714">
        <v>16.905000000000001</v>
      </c>
      <c r="U7" s="714">
        <v>15.435</v>
      </c>
      <c r="V7" s="714">
        <v>13.39</v>
      </c>
      <c r="W7" s="714">
        <v>10.845000000000001</v>
      </c>
      <c r="X7" s="714">
        <v>9.1479999999999997</v>
      </c>
      <c r="Y7" s="714">
        <v>6.11</v>
      </c>
      <c r="Z7" s="714">
        <v>0.05</v>
      </c>
      <c r="AA7" s="714">
        <v>23.649000000000001</v>
      </c>
      <c r="AB7" s="714">
        <v>22.88</v>
      </c>
      <c r="AC7" s="704">
        <v>22.343</v>
      </c>
      <c r="AD7" s="704">
        <v>21.626000000000001</v>
      </c>
      <c r="AE7" s="704">
        <v>21.331</v>
      </c>
      <c r="AF7" s="715">
        <v>20.227</v>
      </c>
      <c r="AG7" s="704"/>
      <c r="AH7" s="715"/>
      <c r="AI7" s="715"/>
      <c r="AJ7" s="716"/>
      <c r="AK7" s="704"/>
      <c r="AL7" s="717">
        <f t="shared" si="0"/>
        <v>7.4000000000000066E-2</v>
      </c>
      <c r="AM7" s="718">
        <v>2.5099999999999998</v>
      </c>
      <c r="AN7" s="718">
        <v>1.74</v>
      </c>
      <c r="AO7" s="718">
        <f t="shared" si="1"/>
        <v>0.25382000000000021</v>
      </c>
      <c r="AP7" s="718">
        <f t="shared" si="2"/>
        <v>4.5038200000000002</v>
      </c>
      <c r="AQ7" s="719">
        <v>4.0999999999999996</v>
      </c>
      <c r="AR7" s="719">
        <v>3.4999999999999996</v>
      </c>
      <c r="AS7" s="716">
        <v>28</v>
      </c>
      <c r="AT7" s="716">
        <v>0.6</v>
      </c>
      <c r="AU7" s="716">
        <v>28</v>
      </c>
      <c r="AV7" s="716">
        <f t="shared" si="9"/>
        <v>16.8</v>
      </c>
      <c r="AW7" s="716">
        <f t="shared" si="4"/>
        <v>97.999999999999986</v>
      </c>
      <c r="AX7" s="716">
        <f t="shared" ref="AX7:AX14" si="12">AQ7*AS7</f>
        <v>114.79999999999998</v>
      </c>
      <c r="AY7" s="716">
        <f t="shared" si="11"/>
        <v>0</v>
      </c>
      <c r="AZ7" s="716">
        <v>100</v>
      </c>
      <c r="BA7" s="716"/>
      <c r="BB7" s="720">
        <v>11000</v>
      </c>
      <c r="BC7" s="716">
        <v>57</v>
      </c>
      <c r="BD7" s="716">
        <v>10</v>
      </c>
      <c r="BE7" s="716">
        <v>80</v>
      </c>
      <c r="BF7" s="716"/>
      <c r="BG7" s="716"/>
      <c r="BH7" s="716"/>
      <c r="BI7" s="716"/>
      <c r="BJ7" s="716"/>
      <c r="BK7" s="716"/>
      <c r="BL7" s="716"/>
      <c r="BM7" s="721"/>
      <c r="BN7" s="722">
        <f t="shared" si="6"/>
        <v>366.30381999999997</v>
      </c>
      <c r="BO7" s="723"/>
      <c r="BP7" s="723"/>
      <c r="BQ7" s="724"/>
      <c r="BR7" s="703">
        <f t="shared" si="7"/>
        <v>349.99999999999994</v>
      </c>
      <c r="BS7" s="703">
        <f t="shared" si="8"/>
        <v>159</v>
      </c>
    </row>
    <row r="8" spans="1:71">
      <c r="A8" s="704" t="s">
        <v>40</v>
      </c>
      <c r="B8" s="705">
        <v>7</v>
      </c>
      <c r="C8" s="706"/>
      <c r="D8" s="707" t="s">
        <v>45</v>
      </c>
      <c r="E8" s="706" t="s">
        <v>46</v>
      </c>
      <c r="F8" s="708">
        <v>39052</v>
      </c>
      <c r="G8" s="706" t="s">
        <v>332</v>
      </c>
      <c r="H8" s="709">
        <v>70567</v>
      </c>
      <c r="I8" s="709" t="s">
        <v>323</v>
      </c>
      <c r="J8" s="711">
        <v>6076338</v>
      </c>
      <c r="K8" s="712" t="s">
        <v>333</v>
      </c>
      <c r="L8" s="706" t="s">
        <v>334</v>
      </c>
      <c r="M8" s="713">
        <v>19765</v>
      </c>
      <c r="N8" s="714"/>
      <c r="O8" s="714">
        <v>13.125</v>
      </c>
      <c r="P8" s="714">
        <v>13.125</v>
      </c>
      <c r="Q8" s="714">
        <v>4.5620000000000003</v>
      </c>
      <c r="R8" s="714">
        <v>0.25</v>
      </c>
      <c r="S8" s="714">
        <v>26.216999999999999</v>
      </c>
      <c r="T8" s="714">
        <v>25.189</v>
      </c>
      <c r="U8" s="714">
        <v>16.916</v>
      </c>
      <c r="V8" s="714">
        <v>12.728999999999999</v>
      </c>
      <c r="W8" s="714">
        <v>7.492</v>
      </c>
      <c r="X8" s="714">
        <v>5.6719999999999997</v>
      </c>
      <c r="Y8" s="714">
        <v>3.75</v>
      </c>
      <c r="Z8" s="714">
        <v>0.05</v>
      </c>
      <c r="AA8" s="714">
        <v>9.07</v>
      </c>
      <c r="AB8" s="714">
        <v>9.07</v>
      </c>
      <c r="AC8" s="704">
        <v>7.3579999999999997</v>
      </c>
      <c r="AD8" s="704">
        <v>5.4450000000000003</v>
      </c>
      <c r="AE8" s="704">
        <v>4.742</v>
      </c>
      <c r="AF8" s="715">
        <v>0.85399999999999998</v>
      </c>
      <c r="AG8" s="704"/>
      <c r="AH8" s="715"/>
      <c r="AI8" s="715"/>
      <c r="AJ8" s="716"/>
      <c r="AK8" s="704"/>
      <c r="AL8" s="717">
        <f t="shared" si="0"/>
        <v>0</v>
      </c>
      <c r="AM8" s="718">
        <v>2.5099999999999998</v>
      </c>
      <c r="AN8" s="718">
        <v>1.74</v>
      </c>
      <c r="AO8" s="718">
        <f t="shared" si="1"/>
        <v>0</v>
      </c>
      <c r="AP8" s="718">
        <f t="shared" si="2"/>
        <v>4.25</v>
      </c>
      <c r="AR8" s="719">
        <v>3.4999999999999996</v>
      </c>
      <c r="AS8" s="703"/>
      <c r="AT8" s="703"/>
      <c r="AU8" s="703"/>
      <c r="AV8" s="703"/>
      <c r="AW8" s="703"/>
      <c r="BA8" s="703"/>
      <c r="BB8" s="703"/>
      <c r="BC8" s="703"/>
      <c r="BD8" s="703"/>
      <c r="BE8" s="716"/>
      <c r="BF8" s="716"/>
      <c r="BG8" s="716"/>
      <c r="BH8" s="716"/>
      <c r="BI8" s="716"/>
      <c r="BJ8" s="716"/>
      <c r="BK8" s="716"/>
      <c r="BL8" s="716"/>
      <c r="BM8" s="728">
        <v>105</v>
      </c>
      <c r="BN8" s="722">
        <f t="shared" si="6"/>
        <v>109.25</v>
      </c>
      <c r="BO8" s="723"/>
      <c r="BP8" s="723"/>
      <c r="BQ8" s="724"/>
      <c r="BR8" s="703">
        <f t="shared" si="7"/>
        <v>349.99999999999994</v>
      </c>
      <c r="BS8" s="703">
        <f t="shared" si="8"/>
        <v>160</v>
      </c>
    </row>
    <row r="9" spans="1:71">
      <c r="A9" s="704" t="s">
        <v>40</v>
      </c>
      <c r="B9" s="705">
        <v>8</v>
      </c>
      <c r="C9" s="706"/>
      <c r="D9" s="707" t="s">
        <v>47</v>
      </c>
      <c r="E9" s="706" t="s">
        <v>48</v>
      </c>
      <c r="F9" s="708">
        <v>38133</v>
      </c>
      <c r="G9" s="706" t="s">
        <v>335</v>
      </c>
      <c r="H9" s="709">
        <v>70565</v>
      </c>
      <c r="I9" s="710" t="s">
        <v>323</v>
      </c>
      <c r="J9" s="711">
        <v>7156714</v>
      </c>
      <c r="K9" s="725"/>
      <c r="L9" s="706" t="s">
        <v>336</v>
      </c>
      <c r="M9" s="713">
        <v>24054</v>
      </c>
      <c r="N9" s="714"/>
      <c r="O9" s="714">
        <v>15.14</v>
      </c>
      <c r="P9" s="714">
        <v>12.643000000000001</v>
      </c>
      <c r="Q9" s="714">
        <v>4.45</v>
      </c>
      <c r="R9" s="714">
        <v>0.25</v>
      </c>
      <c r="S9" s="714">
        <v>36.125999999999998</v>
      </c>
      <c r="T9" s="714">
        <v>34.755000000000003</v>
      </c>
      <c r="U9" s="714">
        <v>26.978000000000002</v>
      </c>
      <c r="V9" s="714">
        <v>21.439</v>
      </c>
      <c r="W9" s="714">
        <v>12.09</v>
      </c>
      <c r="X9" s="714">
        <v>10.244999999999999</v>
      </c>
      <c r="Y9" s="714">
        <v>5.93</v>
      </c>
      <c r="Z9" s="714">
        <v>0.05</v>
      </c>
      <c r="AA9" s="714">
        <v>13.673999999999999</v>
      </c>
      <c r="AB9" s="714">
        <v>11.180999999999999</v>
      </c>
      <c r="AC9" s="704">
        <v>10.153</v>
      </c>
      <c r="AD9" s="704">
        <v>8.7769999999999992</v>
      </c>
      <c r="AE9" s="704">
        <v>6.2039999999999997</v>
      </c>
      <c r="AF9" s="715">
        <v>1.738</v>
      </c>
      <c r="AG9" s="704"/>
      <c r="AH9" s="715"/>
      <c r="AI9" s="715"/>
      <c r="AJ9" s="716"/>
      <c r="AK9" s="704"/>
      <c r="AL9" s="717">
        <f t="shared" si="0"/>
        <v>2.4969999999999999</v>
      </c>
      <c r="AM9" s="718">
        <v>2.5099999999999998</v>
      </c>
      <c r="AN9" s="718">
        <v>1.74</v>
      </c>
      <c r="AO9" s="718">
        <f t="shared" si="1"/>
        <v>8.5647099999999998</v>
      </c>
      <c r="AP9" s="718">
        <f t="shared" si="2"/>
        <v>12.81471</v>
      </c>
      <c r="AQ9" s="719">
        <v>4.0999999999999996</v>
      </c>
      <c r="AR9" s="719">
        <v>3.4999999999999996</v>
      </c>
      <c r="AS9" s="716">
        <v>28</v>
      </c>
      <c r="AT9" s="716">
        <v>0.6</v>
      </c>
      <c r="AU9" s="716">
        <v>28</v>
      </c>
      <c r="AV9" s="716">
        <f t="shared" si="3"/>
        <v>16.8</v>
      </c>
      <c r="AW9" s="716">
        <f t="shared" si="4"/>
        <v>97.999999999999986</v>
      </c>
      <c r="AX9" s="716">
        <f t="shared" si="12"/>
        <v>114.79999999999998</v>
      </c>
      <c r="AY9" s="716">
        <f t="shared" si="11"/>
        <v>0</v>
      </c>
      <c r="AZ9" s="716">
        <v>100</v>
      </c>
      <c r="BA9" s="716">
        <v>32.5</v>
      </c>
      <c r="BB9" s="720"/>
      <c r="BC9" s="716"/>
      <c r="BD9" s="716">
        <v>10</v>
      </c>
      <c r="BE9" s="716">
        <v>80</v>
      </c>
      <c r="BF9" s="716"/>
      <c r="BG9" s="716"/>
      <c r="BH9" s="716"/>
      <c r="BI9" s="716"/>
      <c r="BJ9" s="716"/>
      <c r="BK9" s="716"/>
      <c r="BL9" s="716"/>
      <c r="BM9" s="721"/>
      <c r="BN9" s="722">
        <f t="shared" si="6"/>
        <v>350.11471</v>
      </c>
      <c r="BO9" s="723"/>
      <c r="BP9" s="723"/>
      <c r="BQ9" s="724"/>
      <c r="BR9" s="703">
        <f t="shared" si="7"/>
        <v>349.99999999999994</v>
      </c>
      <c r="BS9" s="703">
        <f t="shared" si="8"/>
        <v>161</v>
      </c>
    </row>
    <row r="10" spans="1:71">
      <c r="A10" s="704" t="s">
        <v>40</v>
      </c>
      <c r="B10" s="705">
        <v>9</v>
      </c>
      <c r="C10" s="706"/>
      <c r="D10" s="707" t="s">
        <v>49</v>
      </c>
      <c r="E10" s="706" t="s">
        <v>50</v>
      </c>
      <c r="F10" s="708">
        <v>36312</v>
      </c>
      <c r="G10" s="706" t="s">
        <v>337</v>
      </c>
      <c r="H10" s="709">
        <v>70734</v>
      </c>
      <c r="I10" s="710" t="s">
        <v>338</v>
      </c>
      <c r="J10" s="711">
        <v>94379748</v>
      </c>
      <c r="K10" s="730"/>
      <c r="L10" s="706"/>
      <c r="M10" s="713">
        <v>16622</v>
      </c>
      <c r="N10" s="714"/>
      <c r="O10" s="714">
        <v>23.155000000000001</v>
      </c>
      <c r="P10" s="714">
        <v>5.0529999999999999</v>
      </c>
      <c r="Q10" s="714">
        <v>2.0680000000000001</v>
      </c>
      <c r="R10" s="714">
        <v>0.25</v>
      </c>
      <c r="S10" s="714">
        <v>8.9670000000000005</v>
      </c>
      <c r="T10" s="714">
        <v>8.5519999999999996</v>
      </c>
      <c r="U10" s="714">
        <v>6.3449999999999998</v>
      </c>
      <c r="V10" s="714">
        <v>5.3319999999999999</v>
      </c>
      <c r="W10" s="714">
        <v>4.048</v>
      </c>
      <c r="X10" s="714">
        <v>3.0870000000000002</v>
      </c>
      <c r="Y10" s="714">
        <v>2.87</v>
      </c>
      <c r="Z10" s="714">
        <v>0.05</v>
      </c>
      <c r="AA10" s="714">
        <v>15.506</v>
      </c>
      <c r="AB10" s="714">
        <v>14.378</v>
      </c>
      <c r="AC10" s="704">
        <v>13.365</v>
      </c>
      <c r="AD10" s="704">
        <v>12.494</v>
      </c>
      <c r="AE10" s="704">
        <v>10.558</v>
      </c>
      <c r="AF10" s="715">
        <v>2.7370000000000001</v>
      </c>
      <c r="AG10" s="704"/>
      <c r="AH10" s="715"/>
      <c r="AI10" s="715"/>
      <c r="AJ10" s="716"/>
      <c r="AK10" s="704"/>
      <c r="AL10" s="717">
        <f t="shared" si="0"/>
        <v>18.102</v>
      </c>
      <c r="AM10" s="718">
        <v>2.5099999999999998</v>
      </c>
      <c r="AN10" s="718">
        <v>1.74</v>
      </c>
      <c r="AO10" s="718">
        <f t="shared" si="1"/>
        <v>62.089860000000002</v>
      </c>
      <c r="AP10" s="718">
        <f t="shared" si="2"/>
        <v>66.339860000000002</v>
      </c>
      <c r="AQ10" s="719">
        <v>3.6</v>
      </c>
      <c r="AR10" s="719">
        <v>3</v>
      </c>
      <c r="AS10" s="716">
        <v>28</v>
      </c>
      <c r="AT10" s="716">
        <v>0.6</v>
      </c>
      <c r="AU10" s="716">
        <v>28</v>
      </c>
      <c r="AV10" s="716">
        <f t="shared" si="3"/>
        <v>16.8</v>
      </c>
      <c r="AW10" s="716">
        <f t="shared" si="4"/>
        <v>84</v>
      </c>
      <c r="AX10" s="716">
        <f t="shared" si="12"/>
        <v>100.8</v>
      </c>
      <c r="AY10" s="716">
        <f t="shared" si="11"/>
        <v>0</v>
      </c>
      <c r="AZ10" s="716">
        <v>100</v>
      </c>
      <c r="BA10" s="716"/>
      <c r="BB10" s="720">
        <v>5000</v>
      </c>
      <c r="BC10" s="716">
        <v>25</v>
      </c>
      <c r="BD10" s="716">
        <v>10</v>
      </c>
      <c r="BE10" s="716">
        <v>80</v>
      </c>
      <c r="BF10" s="716"/>
      <c r="BG10" s="716"/>
      <c r="BH10" s="716"/>
      <c r="BI10" s="716"/>
      <c r="BJ10" s="716"/>
      <c r="BK10" s="716"/>
      <c r="BL10" s="716"/>
      <c r="BM10" s="721"/>
      <c r="BN10" s="722">
        <f t="shared" si="6"/>
        <v>382.13986</v>
      </c>
      <c r="BO10" s="723"/>
      <c r="BP10" s="723"/>
      <c r="BQ10" s="724"/>
      <c r="BR10" s="703">
        <f t="shared" si="7"/>
        <v>300</v>
      </c>
      <c r="BS10" s="703">
        <f t="shared" si="8"/>
        <v>162</v>
      </c>
    </row>
    <row r="11" spans="1:71">
      <c r="A11" s="704" t="s">
        <v>40</v>
      </c>
      <c r="B11" s="705">
        <v>10</v>
      </c>
      <c r="C11" s="706"/>
      <c r="D11" s="707" t="s">
        <v>51</v>
      </c>
      <c r="E11" s="706" t="s">
        <v>52</v>
      </c>
      <c r="F11" s="708">
        <v>37925</v>
      </c>
      <c r="G11" s="706" t="s">
        <v>953</v>
      </c>
      <c r="H11" s="709">
        <v>70376</v>
      </c>
      <c r="I11" s="710" t="s">
        <v>323</v>
      </c>
      <c r="J11" s="711">
        <v>2566751</v>
      </c>
      <c r="K11" s="725"/>
      <c r="L11" s="706" t="s">
        <v>339</v>
      </c>
      <c r="M11" s="713">
        <v>21629</v>
      </c>
      <c r="N11" s="714"/>
      <c r="O11" s="714">
        <v>2.9489999999999998</v>
      </c>
      <c r="P11" s="714">
        <v>2.9489999999999998</v>
      </c>
      <c r="Q11" s="714">
        <v>0.97399999999999998</v>
      </c>
      <c r="R11" s="714">
        <v>0.25</v>
      </c>
      <c r="S11" s="714">
        <v>2.2200000000000002</v>
      </c>
      <c r="T11" s="714">
        <v>2.0569999999999999</v>
      </c>
      <c r="U11" s="714">
        <v>1.373</v>
      </c>
      <c r="V11" s="714">
        <v>1.343</v>
      </c>
      <c r="W11" s="714">
        <v>0.996</v>
      </c>
      <c r="X11" s="714">
        <v>0.64400000000000002</v>
      </c>
      <c r="Y11" s="714">
        <v>0.6</v>
      </c>
      <c r="Z11" s="714">
        <v>0.05</v>
      </c>
      <c r="AA11" s="714">
        <v>14.643000000000001</v>
      </c>
      <c r="AB11" s="714">
        <v>14.506</v>
      </c>
      <c r="AC11" s="704">
        <v>14.134</v>
      </c>
      <c r="AD11" s="704">
        <v>12.411</v>
      </c>
      <c r="AE11" s="704">
        <v>1.024</v>
      </c>
      <c r="AF11" s="715">
        <v>0.88700000000000001</v>
      </c>
      <c r="AG11" s="704"/>
      <c r="AH11" s="715"/>
      <c r="AI11" s="715"/>
      <c r="AJ11" s="716"/>
      <c r="AK11" s="704"/>
      <c r="AL11" s="717">
        <f t="shared" si="0"/>
        <v>0</v>
      </c>
      <c r="AM11" s="718">
        <v>2.5099999999999998</v>
      </c>
      <c r="AN11" s="718">
        <v>1.74</v>
      </c>
      <c r="AO11" s="718">
        <f t="shared" si="1"/>
        <v>0</v>
      </c>
      <c r="AP11" s="718">
        <f t="shared" si="2"/>
        <v>4.25</v>
      </c>
      <c r="AR11" s="719">
        <v>3</v>
      </c>
      <c r="AS11" s="703"/>
      <c r="AT11" s="703"/>
      <c r="AU11" s="703"/>
      <c r="AV11" s="703"/>
      <c r="AW11" s="703"/>
      <c r="BA11" s="703"/>
      <c r="BB11" s="703"/>
      <c r="BC11" s="703"/>
      <c r="BD11" s="703"/>
      <c r="BE11" s="716"/>
      <c r="BF11" s="716"/>
      <c r="BG11" s="716"/>
      <c r="BH11" s="716"/>
      <c r="BI11" s="716">
        <v>60</v>
      </c>
      <c r="BJ11" s="716"/>
      <c r="BK11" s="716" t="s">
        <v>1048</v>
      </c>
      <c r="BL11" s="716">
        <v>160.68</v>
      </c>
      <c r="BM11" s="721">
        <v>60</v>
      </c>
      <c r="BN11" s="722">
        <f t="shared" si="6"/>
        <v>284.93</v>
      </c>
      <c r="BO11" s="723"/>
      <c r="BP11" s="723"/>
      <c r="BQ11" s="724"/>
      <c r="BR11" s="703">
        <f t="shared" si="7"/>
        <v>300</v>
      </c>
      <c r="BS11" s="703">
        <f t="shared" si="8"/>
        <v>163</v>
      </c>
    </row>
    <row r="12" spans="1:71">
      <c r="A12" s="731" t="s">
        <v>40</v>
      </c>
      <c r="B12" s="705">
        <v>11</v>
      </c>
      <c r="C12" s="706"/>
      <c r="D12" s="732" t="s">
        <v>954</v>
      </c>
      <c r="E12" s="706" t="s">
        <v>955</v>
      </c>
      <c r="F12" s="708">
        <v>45413</v>
      </c>
      <c r="G12" s="706" t="s">
        <v>956</v>
      </c>
      <c r="H12" s="709">
        <v>73760</v>
      </c>
      <c r="I12" s="710" t="s">
        <v>340</v>
      </c>
      <c r="J12" s="711"/>
      <c r="K12" s="725" t="s">
        <v>957</v>
      </c>
      <c r="L12" s="706" t="s">
        <v>958</v>
      </c>
      <c r="M12" s="713" t="s">
        <v>959</v>
      </c>
      <c r="N12" s="714"/>
      <c r="O12" s="714">
        <v>40.341000000000001</v>
      </c>
      <c r="P12" s="714">
        <v>26.344999999999999</v>
      </c>
      <c r="Q12" s="714"/>
      <c r="R12" s="714"/>
      <c r="S12" s="714"/>
      <c r="T12" s="714"/>
      <c r="U12" s="714"/>
      <c r="V12" s="714"/>
      <c r="W12" s="714"/>
      <c r="X12" s="714"/>
      <c r="Y12" s="714"/>
      <c r="Z12" s="714"/>
      <c r="AA12" s="714"/>
      <c r="AB12" s="714"/>
      <c r="AC12" s="704"/>
      <c r="AD12" s="704"/>
      <c r="AE12" s="704"/>
      <c r="AF12" s="715"/>
      <c r="AG12" s="704"/>
      <c r="AH12" s="715"/>
      <c r="AI12" s="715"/>
      <c r="AJ12" s="716"/>
      <c r="AK12" s="704"/>
      <c r="AL12" s="717">
        <f t="shared" si="0"/>
        <v>13.996000000000002</v>
      </c>
      <c r="AM12" s="718">
        <v>2.5099999999999998</v>
      </c>
      <c r="AN12" s="718">
        <v>1.74</v>
      </c>
      <c r="AO12" s="718">
        <f t="shared" si="1"/>
        <v>48.006280000000011</v>
      </c>
      <c r="AP12" s="718">
        <f t="shared" si="2"/>
        <v>52.256280000000011</v>
      </c>
      <c r="AQ12" s="719"/>
      <c r="AR12" s="719">
        <v>3.4999999999999996</v>
      </c>
      <c r="AS12" s="716"/>
      <c r="AT12" s="716"/>
      <c r="AU12" s="716"/>
      <c r="AV12" s="716"/>
      <c r="AW12" s="716"/>
      <c r="AX12" s="716"/>
      <c r="AY12" s="716"/>
      <c r="AZ12" s="716"/>
      <c r="BA12" s="716"/>
      <c r="BB12" s="720"/>
      <c r="BC12" s="716"/>
      <c r="BD12" s="716"/>
      <c r="BE12" s="716"/>
      <c r="BF12" s="716"/>
      <c r="BG12" s="716"/>
      <c r="BH12" s="716"/>
      <c r="BI12" s="716">
        <v>60</v>
      </c>
      <c r="BJ12" s="716"/>
      <c r="BK12" s="716" t="s">
        <v>1048</v>
      </c>
      <c r="BL12" s="716">
        <v>78.19</v>
      </c>
      <c r="BM12" s="721">
        <v>60</v>
      </c>
      <c r="BN12" s="722">
        <f t="shared" si="6"/>
        <v>250.44628</v>
      </c>
      <c r="BO12" s="723"/>
      <c r="BP12" s="723"/>
      <c r="BQ12" s="724"/>
      <c r="BR12" s="703">
        <f t="shared" si="7"/>
        <v>349.99999999999994</v>
      </c>
      <c r="BS12" s="703">
        <f t="shared" si="8"/>
        <v>164</v>
      </c>
    </row>
    <row r="13" spans="1:71">
      <c r="A13" s="704" t="s">
        <v>40</v>
      </c>
      <c r="B13" s="705">
        <v>12</v>
      </c>
      <c r="C13" s="706"/>
      <c r="D13" s="707" t="s">
        <v>53</v>
      </c>
      <c r="E13" s="706" t="s">
        <v>54</v>
      </c>
      <c r="F13" s="708">
        <v>34008</v>
      </c>
      <c r="G13" s="706" t="s">
        <v>341</v>
      </c>
      <c r="H13" s="709">
        <v>70565</v>
      </c>
      <c r="I13" s="710" t="s">
        <v>323</v>
      </c>
      <c r="J13" s="733" t="s">
        <v>342</v>
      </c>
      <c r="K13" s="734"/>
      <c r="L13" s="706" t="s">
        <v>865</v>
      </c>
      <c r="M13" s="713">
        <v>18289</v>
      </c>
      <c r="N13" s="714"/>
      <c r="O13" s="714">
        <v>16.68</v>
      </c>
      <c r="P13" s="714">
        <v>15.427</v>
      </c>
      <c r="Q13" s="714">
        <v>7.1349999999999998</v>
      </c>
      <c r="R13" s="714">
        <v>0.25</v>
      </c>
      <c r="S13" s="714">
        <v>44.765000000000001</v>
      </c>
      <c r="T13" s="714">
        <v>44.433999999999997</v>
      </c>
      <c r="U13" s="714">
        <v>33.036000000000001</v>
      </c>
      <c r="V13" s="714">
        <v>25.8</v>
      </c>
      <c r="W13" s="714">
        <v>16.436</v>
      </c>
      <c r="X13" s="714">
        <v>13.907</v>
      </c>
      <c r="Y13" s="714">
        <v>12.47</v>
      </c>
      <c r="Z13" s="714">
        <v>0.05</v>
      </c>
      <c r="AA13" s="714">
        <v>19.454000000000001</v>
      </c>
      <c r="AB13" s="714">
        <v>17.119</v>
      </c>
      <c r="AC13" s="704">
        <v>13.587999999999999</v>
      </c>
      <c r="AD13" s="704">
        <v>9.6120000000000001</v>
      </c>
      <c r="AE13" s="704">
        <v>7.4560000000000004</v>
      </c>
      <c r="AF13" s="715">
        <v>5.548</v>
      </c>
      <c r="AG13" s="704"/>
      <c r="AH13" s="715"/>
      <c r="AI13" s="715"/>
      <c r="AJ13" s="716"/>
      <c r="AK13" s="704"/>
      <c r="AL13" s="717">
        <f t="shared" si="0"/>
        <v>1.2530000000000001</v>
      </c>
      <c r="AM13" s="718">
        <v>2.5099999999999998</v>
      </c>
      <c r="AN13" s="718">
        <v>1.74</v>
      </c>
      <c r="AO13" s="718">
        <f t="shared" si="1"/>
        <v>4.2977900000000009</v>
      </c>
      <c r="AP13" s="718">
        <f t="shared" si="2"/>
        <v>8.5477900000000009</v>
      </c>
      <c r="AQ13" s="719">
        <v>3.6</v>
      </c>
      <c r="AR13" s="719">
        <v>3</v>
      </c>
      <c r="AS13" s="716">
        <v>28</v>
      </c>
      <c r="AT13" s="716">
        <v>0.6</v>
      </c>
      <c r="AU13" s="716">
        <v>28</v>
      </c>
      <c r="AV13" s="716">
        <f t="shared" si="3"/>
        <v>16.8</v>
      </c>
      <c r="AW13" s="716">
        <f t="shared" si="4"/>
        <v>84</v>
      </c>
      <c r="AX13" s="716">
        <f t="shared" si="12"/>
        <v>100.8</v>
      </c>
      <c r="AY13" s="716">
        <f t="shared" si="11"/>
        <v>0</v>
      </c>
      <c r="AZ13" s="716">
        <v>100</v>
      </c>
      <c r="BA13" s="716"/>
      <c r="BB13" s="720">
        <v>5000</v>
      </c>
      <c r="BC13" s="716">
        <v>25</v>
      </c>
      <c r="BD13" s="716">
        <v>10</v>
      </c>
      <c r="BE13" s="716">
        <v>80</v>
      </c>
      <c r="BF13" s="716"/>
      <c r="BG13" s="716"/>
      <c r="BH13" s="716"/>
      <c r="BI13" s="716"/>
      <c r="BJ13" s="716"/>
      <c r="BK13" s="716"/>
      <c r="BL13" s="716"/>
      <c r="BM13" s="721"/>
      <c r="BN13" s="722">
        <f t="shared" si="6"/>
        <v>324.34779000000003</v>
      </c>
      <c r="BO13" s="723"/>
      <c r="BP13" s="723"/>
      <c r="BQ13" s="724"/>
      <c r="BR13" s="703">
        <f t="shared" si="7"/>
        <v>300</v>
      </c>
      <c r="BS13" s="703">
        <f t="shared" si="8"/>
        <v>165</v>
      </c>
    </row>
    <row r="14" spans="1:71">
      <c r="A14" s="704" t="s">
        <v>40</v>
      </c>
      <c r="B14" s="705">
        <v>13</v>
      </c>
      <c r="C14" s="706"/>
      <c r="D14" s="707" t="s">
        <v>263</v>
      </c>
      <c r="E14" s="706" t="s">
        <v>223</v>
      </c>
      <c r="F14" s="708">
        <v>43435</v>
      </c>
      <c r="G14" s="706" t="s">
        <v>343</v>
      </c>
      <c r="H14" s="709">
        <v>70180</v>
      </c>
      <c r="I14" s="710" t="s">
        <v>323</v>
      </c>
      <c r="J14" s="711"/>
      <c r="K14" s="712" t="s">
        <v>344</v>
      </c>
      <c r="L14" s="706" t="s">
        <v>689</v>
      </c>
      <c r="M14" s="713">
        <v>30455</v>
      </c>
      <c r="N14" s="714"/>
      <c r="O14" s="714">
        <v>52.97</v>
      </c>
      <c r="P14" s="714">
        <v>36.914000000000001</v>
      </c>
      <c r="Q14" s="714">
        <v>14.507999999999999</v>
      </c>
      <c r="R14" s="714">
        <v>0.25</v>
      </c>
      <c r="S14" s="714">
        <v>60.601999999999997</v>
      </c>
      <c r="T14" s="714">
        <v>55.51</v>
      </c>
      <c r="U14" s="714">
        <v>36.603999999999999</v>
      </c>
      <c r="V14" s="714">
        <v>21.032</v>
      </c>
      <c r="W14" s="714">
        <v>17.782</v>
      </c>
      <c r="X14" s="714">
        <v>4.5259999999999998</v>
      </c>
      <c r="Y14" s="714">
        <v>7.0000000000000007E-2</v>
      </c>
      <c r="Z14" s="714">
        <v>0.05</v>
      </c>
      <c r="AA14" s="714">
        <v>18.797999999999998</v>
      </c>
      <c r="AB14" s="714">
        <v>17.902999999999999</v>
      </c>
      <c r="AC14" s="704">
        <v>16.257999999999999</v>
      </c>
      <c r="AD14" s="704">
        <v>13.967000000000001</v>
      </c>
      <c r="AE14" s="704">
        <v>10.151999999999999</v>
      </c>
      <c r="AF14" s="715">
        <v>5.952</v>
      </c>
      <c r="AG14" s="704"/>
      <c r="AH14" s="715"/>
      <c r="AI14" s="715"/>
      <c r="AJ14" s="716"/>
      <c r="AK14" s="704"/>
      <c r="AL14" s="717">
        <f t="shared" si="0"/>
        <v>16.055999999999997</v>
      </c>
      <c r="AM14" s="718">
        <v>2.5099999999999998</v>
      </c>
      <c r="AN14" s="718">
        <v>1.74</v>
      </c>
      <c r="AO14" s="718">
        <f t="shared" si="1"/>
        <v>55.072079999999993</v>
      </c>
      <c r="AP14" s="718">
        <f t="shared" si="2"/>
        <v>59.322079999999993</v>
      </c>
      <c r="AQ14" s="719">
        <v>4.0999999999999996</v>
      </c>
      <c r="AR14" s="719">
        <v>3.4999999999999996</v>
      </c>
      <c r="AS14" s="716">
        <v>28</v>
      </c>
      <c r="AT14" s="716">
        <v>0.6</v>
      </c>
      <c r="AU14" s="716">
        <v>28</v>
      </c>
      <c r="AV14" s="716">
        <f t="shared" si="3"/>
        <v>16.8</v>
      </c>
      <c r="AW14" s="716">
        <f t="shared" si="4"/>
        <v>97.999999999999986</v>
      </c>
      <c r="AX14" s="716">
        <f t="shared" si="12"/>
        <v>114.79999999999998</v>
      </c>
      <c r="AY14" s="716">
        <f t="shared" si="11"/>
        <v>0</v>
      </c>
      <c r="AZ14" s="716">
        <v>100</v>
      </c>
      <c r="BA14" s="716"/>
      <c r="BB14" s="720">
        <v>10000</v>
      </c>
      <c r="BC14" s="716">
        <v>52</v>
      </c>
      <c r="BD14" s="716">
        <v>10</v>
      </c>
      <c r="BE14" s="716">
        <v>80</v>
      </c>
      <c r="BF14" s="716"/>
      <c r="BG14" s="716"/>
      <c r="BH14" s="716"/>
      <c r="BI14" s="716"/>
      <c r="BJ14" s="716"/>
      <c r="BK14" s="716"/>
      <c r="BL14" s="716"/>
      <c r="BM14" s="721"/>
      <c r="BN14" s="722">
        <f t="shared" si="6"/>
        <v>416.12207999999998</v>
      </c>
      <c r="BO14" s="723"/>
      <c r="BP14" s="723"/>
      <c r="BQ14" s="724"/>
      <c r="BR14" s="703">
        <f t="shared" si="7"/>
        <v>349.99999999999994</v>
      </c>
      <c r="BS14" s="703">
        <f t="shared" si="8"/>
        <v>166</v>
      </c>
    </row>
    <row r="15" spans="1:71">
      <c r="A15" s="704" t="s">
        <v>40</v>
      </c>
      <c r="B15" s="705">
        <v>14</v>
      </c>
      <c r="C15" s="706"/>
      <c r="D15" s="707" t="s">
        <v>960</v>
      </c>
      <c r="E15" s="706" t="s">
        <v>961</v>
      </c>
      <c r="F15" s="708">
        <v>45627</v>
      </c>
      <c r="G15" s="706" t="s">
        <v>962</v>
      </c>
      <c r="H15" s="709">
        <v>70619</v>
      </c>
      <c r="I15" s="710" t="s">
        <v>348</v>
      </c>
      <c r="J15" s="711"/>
      <c r="K15" s="725" t="s">
        <v>963</v>
      </c>
      <c r="L15" s="729" t="s">
        <v>964</v>
      </c>
      <c r="M15" s="713">
        <v>32604</v>
      </c>
      <c r="N15" s="714" t="s">
        <v>965</v>
      </c>
      <c r="O15" s="714">
        <v>1.2270000000000001</v>
      </c>
      <c r="P15" s="714">
        <v>1.2130000000000001</v>
      </c>
      <c r="Q15" s="714"/>
      <c r="R15" s="714"/>
      <c r="S15" s="714"/>
      <c r="T15" s="714"/>
      <c r="U15" s="714"/>
      <c r="V15" s="714"/>
      <c r="W15" s="714"/>
      <c r="X15" s="714"/>
      <c r="Y15" s="714"/>
      <c r="Z15" s="714"/>
      <c r="AA15" s="714"/>
      <c r="AB15" s="714"/>
      <c r="AC15" s="704"/>
      <c r="AD15" s="704"/>
      <c r="AE15" s="704"/>
      <c r="AF15" s="715"/>
      <c r="AG15" s="704"/>
      <c r="AH15" s="715"/>
      <c r="AI15" s="715"/>
      <c r="AJ15" s="716"/>
      <c r="AK15" s="704"/>
      <c r="AL15" s="714">
        <f t="shared" si="0"/>
        <v>1.4000000000000012E-2</v>
      </c>
      <c r="AM15" s="718">
        <v>2.5099999999999998</v>
      </c>
      <c r="AN15" s="718"/>
      <c r="AO15" s="718">
        <f t="shared" si="1"/>
        <v>4.8020000000000042E-2</v>
      </c>
      <c r="AP15" s="718">
        <f t="shared" si="2"/>
        <v>2.55802</v>
      </c>
      <c r="AQ15" s="719">
        <v>3.6</v>
      </c>
      <c r="AR15" s="719">
        <v>3</v>
      </c>
      <c r="AS15" s="716">
        <v>28</v>
      </c>
      <c r="AT15" s="716">
        <v>0.6</v>
      </c>
      <c r="AU15" s="716">
        <v>28</v>
      </c>
      <c r="AV15" s="716">
        <f>AT15*AU15+1.4</f>
        <v>18.2</v>
      </c>
      <c r="AW15" s="716">
        <f>AR15*AS15+7</f>
        <v>91</v>
      </c>
      <c r="AX15" s="716">
        <f>AQ15*AS15</f>
        <v>100.8</v>
      </c>
      <c r="AY15" s="716">
        <f t="shared" si="11"/>
        <v>-8.4000000000000057</v>
      </c>
      <c r="AZ15" s="716">
        <f>100+8.35</f>
        <v>108.35</v>
      </c>
      <c r="BA15" s="716"/>
      <c r="BB15" s="720">
        <v>10000</v>
      </c>
      <c r="BC15" s="716">
        <v>52</v>
      </c>
      <c r="BD15" s="716">
        <v>10</v>
      </c>
      <c r="BE15" s="716">
        <v>80</v>
      </c>
      <c r="BF15" s="716"/>
      <c r="BG15" s="716"/>
      <c r="BH15" s="716">
        <v>150</v>
      </c>
      <c r="BI15" s="716">
        <v>60</v>
      </c>
      <c r="BJ15" s="716"/>
      <c r="BK15" s="716" t="s">
        <v>1048</v>
      </c>
      <c r="BL15" s="716">
        <v>400</v>
      </c>
      <c r="BM15" s="721"/>
      <c r="BN15" s="722">
        <f t="shared" si="6"/>
        <v>972.10802000000001</v>
      </c>
      <c r="BO15" s="723"/>
      <c r="BP15" s="723"/>
      <c r="BQ15" s="724"/>
      <c r="BR15" s="703">
        <f t="shared" si="7"/>
        <v>300</v>
      </c>
      <c r="BS15" s="703">
        <f t="shared" si="8"/>
        <v>167</v>
      </c>
    </row>
    <row r="16" spans="1:71">
      <c r="A16" s="704" t="s">
        <v>40</v>
      </c>
      <c r="B16" s="705">
        <v>15</v>
      </c>
      <c r="C16" s="706"/>
      <c r="D16" s="707" t="s">
        <v>55</v>
      </c>
      <c r="E16" s="706" t="s">
        <v>56</v>
      </c>
      <c r="F16" s="708">
        <v>35217</v>
      </c>
      <c r="G16" s="706" t="s">
        <v>345</v>
      </c>
      <c r="H16" s="709">
        <v>70176</v>
      </c>
      <c r="I16" s="710" t="s">
        <v>323</v>
      </c>
      <c r="J16" s="711" t="s">
        <v>346</v>
      </c>
      <c r="K16" s="725"/>
      <c r="L16" s="706"/>
      <c r="M16" s="713">
        <v>18948</v>
      </c>
      <c r="N16" s="714"/>
      <c r="O16" s="714">
        <v>17.573</v>
      </c>
      <c r="P16" s="714">
        <v>16.202000000000002</v>
      </c>
      <c r="Q16" s="714">
        <v>3.1960000000000002</v>
      </c>
      <c r="R16" s="714">
        <v>0.25</v>
      </c>
      <c r="S16" s="714">
        <v>32.161999999999999</v>
      </c>
      <c r="T16" s="714">
        <v>31.510999999999999</v>
      </c>
      <c r="U16" s="714">
        <v>24.186</v>
      </c>
      <c r="V16" s="714">
        <v>20.209</v>
      </c>
      <c r="W16" s="714">
        <v>12.427</v>
      </c>
      <c r="X16" s="714">
        <v>9.5739999999999998</v>
      </c>
      <c r="Y16" s="714">
        <v>6.95</v>
      </c>
      <c r="Z16" s="714">
        <v>0.05</v>
      </c>
      <c r="AA16" s="714">
        <v>30.457000000000001</v>
      </c>
      <c r="AB16" s="714">
        <v>26.277999999999999</v>
      </c>
      <c r="AC16" s="704">
        <v>24.350999999999999</v>
      </c>
      <c r="AD16" s="704">
        <v>20.667000000000002</v>
      </c>
      <c r="AE16" s="704">
        <v>16</v>
      </c>
      <c r="AF16" s="715">
        <v>11.302</v>
      </c>
      <c r="AG16" s="704"/>
      <c r="AH16" s="715"/>
      <c r="AI16" s="715"/>
      <c r="AJ16" s="716"/>
      <c r="AK16" s="704"/>
      <c r="AL16" s="717">
        <f t="shared" si="0"/>
        <v>1.3709999999999987</v>
      </c>
      <c r="AM16" s="718">
        <v>2.5099999999999998</v>
      </c>
      <c r="AN16" s="718">
        <v>1.74</v>
      </c>
      <c r="AO16" s="718">
        <f t="shared" si="1"/>
        <v>4.7025299999999959</v>
      </c>
      <c r="AP16" s="718">
        <f t="shared" si="2"/>
        <v>8.9525299999999959</v>
      </c>
      <c r="AQ16" s="719">
        <v>4.0999999999999996</v>
      </c>
      <c r="AR16" s="719">
        <v>3.4999999999999996</v>
      </c>
      <c r="AS16" s="716">
        <v>28</v>
      </c>
      <c r="AT16" s="716">
        <v>0.6</v>
      </c>
      <c r="AU16" s="716">
        <v>28</v>
      </c>
      <c r="AV16" s="716">
        <f t="shared" si="3"/>
        <v>16.8</v>
      </c>
      <c r="AW16" s="716">
        <f t="shared" si="4"/>
        <v>97.999999999999986</v>
      </c>
      <c r="AX16" s="716">
        <f t="shared" ref="AX16:AX21" si="13">AQ16*AS16</f>
        <v>114.79999999999998</v>
      </c>
      <c r="AY16" s="716">
        <f t="shared" si="11"/>
        <v>0</v>
      </c>
      <c r="AZ16" s="716">
        <v>100</v>
      </c>
      <c r="BA16" s="716">
        <v>32.5</v>
      </c>
      <c r="BB16" s="720"/>
      <c r="BC16" s="716"/>
      <c r="BD16" s="716">
        <v>10</v>
      </c>
      <c r="BE16" s="716">
        <v>80</v>
      </c>
      <c r="BF16" s="716"/>
      <c r="BG16" s="716"/>
      <c r="BH16" s="716"/>
      <c r="BI16" s="716"/>
      <c r="BJ16" s="716"/>
      <c r="BK16" s="716"/>
      <c r="BL16" s="716"/>
      <c r="BM16" s="721"/>
      <c r="BN16" s="722">
        <f t="shared" si="6"/>
        <v>346.25252999999998</v>
      </c>
      <c r="BO16" s="723"/>
      <c r="BP16" s="723"/>
      <c r="BQ16" s="724"/>
      <c r="BR16" s="703">
        <f t="shared" si="7"/>
        <v>349.99999999999994</v>
      </c>
      <c r="BS16" s="703">
        <f t="shared" si="8"/>
        <v>168</v>
      </c>
    </row>
    <row r="17" spans="1:71">
      <c r="A17" s="704" t="s">
        <v>40</v>
      </c>
      <c r="B17" s="705">
        <v>16</v>
      </c>
      <c r="C17" s="706"/>
      <c r="D17" s="707" t="s">
        <v>317</v>
      </c>
      <c r="E17" s="706" t="s">
        <v>318</v>
      </c>
      <c r="F17" s="708">
        <v>43983</v>
      </c>
      <c r="G17" s="706" t="s">
        <v>347</v>
      </c>
      <c r="H17" s="709">
        <v>70619</v>
      </c>
      <c r="I17" s="710" t="s">
        <v>348</v>
      </c>
      <c r="J17" s="711"/>
      <c r="K17" s="725"/>
      <c r="L17" s="706" t="s">
        <v>349</v>
      </c>
      <c r="M17" s="713"/>
      <c r="N17" s="714" t="s">
        <v>866</v>
      </c>
      <c r="O17" s="714">
        <v>27.213000000000001</v>
      </c>
      <c r="P17" s="714">
        <v>18.288</v>
      </c>
      <c r="Q17" s="714">
        <v>8.0709999999999997</v>
      </c>
      <c r="R17" s="714">
        <v>0.25</v>
      </c>
      <c r="S17" s="714">
        <v>27.686</v>
      </c>
      <c r="T17" s="714">
        <v>21.747</v>
      </c>
      <c r="U17" s="714">
        <v>13.263999999999999</v>
      </c>
      <c r="V17" s="714">
        <v>11.202</v>
      </c>
      <c r="W17" s="714">
        <v>6.7649999999999997</v>
      </c>
      <c r="X17" s="714">
        <v>6.7590000000000003</v>
      </c>
      <c r="Y17" s="714">
        <v>3.61</v>
      </c>
      <c r="Z17" s="714">
        <v>0.05</v>
      </c>
      <c r="AA17" s="714">
        <v>43.412999999999997</v>
      </c>
      <c r="AB17" s="714">
        <v>41.945999999999998</v>
      </c>
      <c r="AC17" s="704">
        <v>9.0559999999999992</v>
      </c>
      <c r="AD17" s="704">
        <v>7.6390000000000002</v>
      </c>
      <c r="AE17" s="704">
        <v>5.3559999999999999</v>
      </c>
      <c r="AF17" s="715">
        <v>2.7429999999999999</v>
      </c>
      <c r="AG17" s="704"/>
      <c r="AH17" s="715"/>
      <c r="AI17" s="715"/>
      <c r="AJ17" s="716"/>
      <c r="AK17" s="704"/>
      <c r="AL17" s="717">
        <f t="shared" si="0"/>
        <v>8.9250000000000007</v>
      </c>
      <c r="AM17" s="718">
        <v>2.5099999999999998</v>
      </c>
      <c r="AN17" s="718">
        <v>1.74</v>
      </c>
      <c r="AO17" s="718">
        <f t="shared" si="1"/>
        <v>30.612750000000005</v>
      </c>
      <c r="AP17" s="718">
        <f t="shared" si="2"/>
        <v>34.862750000000005</v>
      </c>
      <c r="AQ17" s="719">
        <v>4.5999999999999996</v>
      </c>
      <c r="AR17" s="719">
        <v>3.9999999999999996</v>
      </c>
      <c r="AS17" s="716">
        <v>28</v>
      </c>
      <c r="AT17" s="716">
        <v>0.6</v>
      </c>
      <c r="AU17" s="716">
        <v>28</v>
      </c>
      <c r="AV17" s="716">
        <f t="shared" si="3"/>
        <v>16.8</v>
      </c>
      <c r="AW17" s="716">
        <f t="shared" si="4"/>
        <v>111.99999999999999</v>
      </c>
      <c r="AX17" s="716">
        <f t="shared" si="13"/>
        <v>128.79999999999998</v>
      </c>
      <c r="AY17" s="716">
        <f t="shared" si="11"/>
        <v>0</v>
      </c>
      <c r="AZ17" s="716">
        <v>100</v>
      </c>
      <c r="BA17" s="716"/>
      <c r="BB17" s="720">
        <v>8500</v>
      </c>
      <c r="BC17" s="716">
        <v>40</v>
      </c>
      <c r="BD17" s="716">
        <v>10</v>
      </c>
      <c r="BE17" s="716">
        <v>80</v>
      </c>
      <c r="BF17" s="716"/>
      <c r="BG17" s="716"/>
      <c r="BH17" s="716"/>
      <c r="BI17" s="716"/>
      <c r="BJ17" s="716"/>
      <c r="BK17" s="716"/>
      <c r="BL17" s="716"/>
      <c r="BM17" s="721"/>
      <c r="BN17" s="722">
        <f t="shared" si="6"/>
        <v>393.66275000000002</v>
      </c>
      <c r="BO17" s="723"/>
      <c r="BP17" s="723"/>
      <c r="BQ17" s="724"/>
      <c r="BR17" s="703">
        <f t="shared" si="7"/>
        <v>399.99999999999994</v>
      </c>
      <c r="BS17" s="703">
        <f t="shared" si="8"/>
        <v>169</v>
      </c>
    </row>
    <row r="18" spans="1:71">
      <c r="A18" s="705" t="s">
        <v>40</v>
      </c>
      <c r="B18" s="705">
        <v>17</v>
      </c>
      <c r="C18" s="706"/>
      <c r="D18" s="707" t="s">
        <v>966</v>
      </c>
      <c r="E18" s="706" t="s">
        <v>967</v>
      </c>
      <c r="F18" s="708">
        <v>45413</v>
      </c>
      <c r="G18" s="706" t="s">
        <v>968</v>
      </c>
      <c r="H18" s="709">
        <v>73760</v>
      </c>
      <c r="I18" s="710" t="s">
        <v>340</v>
      </c>
      <c r="J18" s="735"/>
      <c r="K18" s="736"/>
      <c r="L18" s="706" t="s">
        <v>969</v>
      </c>
      <c r="M18" s="737"/>
      <c r="N18" s="714" t="s">
        <v>970</v>
      </c>
      <c r="O18" s="714">
        <v>11.664999999999999</v>
      </c>
      <c r="P18" s="714">
        <v>9.27</v>
      </c>
      <c r="Q18" s="714"/>
      <c r="R18" s="714"/>
      <c r="S18" s="714"/>
      <c r="T18" s="714"/>
      <c r="U18" s="714"/>
      <c r="V18" s="714"/>
      <c r="W18" s="714"/>
      <c r="X18" s="714"/>
      <c r="Y18" s="714"/>
      <c r="Z18" s="714"/>
      <c r="AA18" s="714"/>
      <c r="AB18" s="714"/>
      <c r="AC18" s="704"/>
      <c r="AD18" s="704"/>
      <c r="AE18" s="704"/>
      <c r="AF18" s="715"/>
      <c r="AG18" s="704"/>
      <c r="AH18" s="715"/>
      <c r="AI18" s="715"/>
      <c r="AJ18" s="716"/>
      <c r="AK18" s="704"/>
      <c r="AL18" s="717">
        <f t="shared" si="0"/>
        <v>2.3949999999999996</v>
      </c>
      <c r="AM18" s="718">
        <v>2.5099999999999998</v>
      </c>
      <c r="AN18" s="718">
        <v>1.74</v>
      </c>
      <c r="AO18" s="718">
        <f t="shared" si="1"/>
        <v>8.2148499999999984</v>
      </c>
      <c r="AP18" s="718">
        <f t="shared" si="2"/>
        <v>12.464849999999998</v>
      </c>
      <c r="AQ18" s="719">
        <v>4.0999999999999996</v>
      </c>
      <c r="AR18" s="719">
        <v>3.4999999999999996</v>
      </c>
      <c r="AS18" s="716">
        <v>28</v>
      </c>
      <c r="AT18" s="716">
        <v>0.6</v>
      </c>
      <c r="AU18" s="716">
        <v>28</v>
      </c>
      <c r="AV18" s="716">
        <f>(AT18*AU18)+((AT18*AU18)/12*7)</f>
        <v>26.6</v>
      </c>
      <c r="AW18" s="716">
        <f>(AR18*AS18)+(AR18*AS18)/12*7</f>
        <v>155.16666666666666</v>
      </c>
      <c r="AX18" s="716">
        <f>AQ18*AS18</f>
        <v>114.79999999999998</v>
      </c>
      <c r="AY18" s="716">
        <f>AX18-(AV18+AW18)</f>
        <v>-66.966666666666669</v>
      </c>
      <c r="AZ18" s="716">
        <v>200</v>
      </c>
      <c r="BA18" s="716"/>
      <c r="BB18" s="720">
        <v>10000</v>
      </c>
      <c r="BC18" s="716">
        <v>104</v>
      </c>
      <c r="BD18" s="716">
        <v>20</v>
      </c>
      <c r="BE18" s="716">
        <v>80</v>
      </c>
      <c r="BF18" s="716"/>
      <c r="BG18" s="716"/>
      <c r="BH18" s="716">
        <v>150</v>
      </c>
      <c r="BI18" s="716">
        <v>60</v>
      </c>
      <c r="BJ18" s="716"/>
      <c r="BK18" s="716"/>
      <c r="BL18" s="716"/>
      <c r="BM18" s="721"/>
      <c r="BN18" s="722">
        <f t="shared" si="6"/>
        <v>808.23151666666661</v>
      </c>
      <c r="BO18" s="723"/>
      <c r="BP18" s="723"/>
      <c r="BQ18" s="724"/>
      <c r="BR18" s="703">
        <f t="shared" si="7"/>
        <v>349.99999999999994</v>
      </c>
      <c r="BS18" s="703">
        <f t="shared" si="8"/>
        <v>170</v>
      </c>
    </row>
    <row r="19" spans="1:71">
      <c r="A19" s="704" t="s">
        <v>40</v>
      </c>
      <c r="B19" s="705">
        <v>18</v>
      </c>
      <c r="C19" s="706"/>
      <c r="D19" s="707" t="s">
        <v>57</v>
      </c>
      <c r="E19" s="706" t="s">
        <v>58</v>
      </c>
      <c r="F19" s="708">
        <v>40513</v>
      </c>
      <c r="G19" s="706" t="s">
        <v>350</v>
      </c>
      <c r="H19" s="709">
        <v>70186</v>
      </c>
      <c r="I19" s="710" t="s">
        <v>323</v>
      </c>
      <c r="J19" s="711">
        <v>2368295</v>
      </c>
      <c r="K19" s="725"/>
      <c r="L19" s="706"/>
      <c r="M19" s="713">
        <v>16440</v>
      </c>
      <c r="N19" s="714"/>
      <c r="O19" s="714">
        <v>8.5060000000000002</v>
      </c>
      <c r="P19" s="714">
        <v>8.048</v>
      </c>
      <c r="Q19" s="714">
        <v>4.2519999999999998</v>
      </c>
      <c r="R19" s="714">
        <v>0.25</v>
      </c>
      <c r="S19" s="714">
        <v>42.651000000000003</v>
      </c>
      <c r="T19" s="714">
        <v>41.008000000000003</v>
      </c>
      <c r="U19" s="714">
        <v>32.127000000000002</v>
      </c>
      <c r="V19" s="714">
        <v>25.966000000000001</v>
      </c>
      <c r="W19" s="714">
        <v>18.372</v>
      </c>
      <c r="X19" s="714">
        <v>13.087</v>
      </c>
      <c r="Y19" s="714">
        <v>8.33</v>
      </c>
      <c r="Z19" s="714">
        <v>0.05</v>
      </c>
      <c r="AA19" s="714">
        <v>26.905000000000001</v>
      </c>
      <c r="AB19" s="714">
        <v>24.39</v>
      </c>
      <c r="AC19" s="704">
        <v>20.001000000000001</v>
      </c>
      <c r="AD19" s="704">
        <v>16.872</v>
      </c>
      <c r="AE19" s="704">
        <v>13.618</v>
      </c>
      <c r="AF19" s="715">
        <v>13.141</v>
      </c>
      <c r="AG19" s="704"/>
      <c r="AH19" s="715"/>
      <c r="AI19" s="715"/>
      <c r="AJ19" s="716"/>
      <c r="AK19" s="704"/>
      <c r="AL19" s="717">
        <f t="shared" si="0"/>
        <v>0.45800000000000018</v>
      </c>
      <c r="AM19" s="718">
        <v>2.5099999999999998</v>
      </c>
      <c r="AN19" s="718">
        <v>1.74</v>
      </c>
      <c r="AO19" s="718">
        <f t="shared" si="1"/>
        <v>1.5709400000000007</v>
      </c>
      <c r="AP19" s="718">
        <f t="shared" si="2"/>
        <v>5.8209400000000002</v>
      </c>
      <c r="AQ19" s="719">
        <v>4.0999999999999996</v>
      </c>
      <c r="AR19" s="719">
        <v>3.4999999999999996</v>
      </c>
      <c r="AS19" s="716">
        <v>28</v>
      </c>
      <c r="AT19" s="716">
        <v>0.6</v>
      </c>
      <c r="AU19" s="716">
        <v>28</v>
      </c>
      <c r="AV19" s="716">
        <f t="shared" si="3"/>
        <v>16.8</v>
      </c>
      <c r="AW19" s="716">
        <f t="shared" si="4"/>
        <v>97.999999999999986</v>
      </c>
      <c r="AX19" s="716">
        <f t="shared" si="13"/>
        <v>114.79999999999998</v>
      </c>
      <c r="AY19" s="716">
        <f t="shared" si="11"/>
        <v>0</v>
      </c>
      <c r="AZ19" s="716">
        <v>100</v>
      </c>
      <c r="BA19" s="716"/>
      <c r="BB19" s="720">
        <v>10000</v>
      </c>
      <c r="BC19" s="716">
        <v>52</v>
      </c>
      <c r="BD19" s="716">
        <v>10</v>
      </c>
      <c r="BE19" s="716">
        <v>80</v>
      </c>
      <c r="BF19" s="716"/>
      <c r="BG19" s="716"/>
      <c r="BH19" s="716"/>
      <c r="BI19" s="716"/>
      <c r="BJ19" s="716"/>
      <c r="BK19" s="716"/>
      <c r="BL19" s="716"/>
      <c r="BM19" s="721"/>
      <c r="BN19" s="722">
        <f t="shared" si="6"/>
        <v>362.62093999999996</v>
      </c>
      <c r="BO19" s="723"/>
      <c r="BP19" s="723"/>
      <c r="BQ19" s="724"/>
      <c r="BR19" s="703">
        <f t="shared" si="7"/>
        <v>349.99999999999994</v>
      </c>
      <c r="BS19" s="703">
        <f t="shared" si="8"/>
        <v>171</v>
      </c>
    </row>
    <row r="20" spans="1:71">
      <c r="A20" s="704" t="s">
        <v>40</v>
      </c>
      <c r="B20" s="705">
        <v>19</v>
      </c>
      <c r="C20" s="706"/>
      <c r="D20" s="707" t="s">
        <v>971</v>
      </c>
      <c r="E20" s="706" t="s">
        <v>972</v>
      </c>
      <c r="F20" s="708">
        <v>45627</v>
      </c>
      <c r="G20" s="706" t="s">
        <v>973</v>
      </c>
      <c r="H20" s="709">
        <v>70619</v>
      </c>
      <c r="I20" s="710" t="s">
        <v>323</v>
      </c>
      <c r="J20" s="711"/>
      <c r="K20" s="725" t="s">
        <v>974</v>
      </c>
      <c r="L20" s="729" t="s">
        <v>975</v>
      </c>
      <c r="M20" s="713">
        <v>33366</v>
      </c>
      <c r="N20" s="714" t="s">
        <v>976</v>
      </c>
      <c r="O20" s="714">
        <v>39.454999999999998</v>
      </c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714"/>
      <c r="AB20" s="714"/>
      <c r="AC20" s="704"/>
      <c r="AD20" s="704"/>
      <c r="AE20" s="704"/>
      <c r="AF20" s="715"/>
      <c r="AG20" s="704"/>
      <c r="AH20" s="715"/>
      <c r="AI20" s="715"/>
      <c r="AJ20" s="716"/>
      <c r="AK20" s="704"/>
      <c r="AL20" s="718"/>
      <c r="AM20" s="718"/>
      <c r="AN20" s="718"/>
      <c r="AO20" s="718"/>
      <c r="AP20" s="718"/>
      <c r="AQ20" s="719">
        <v>4.0999999999999996</v>
      </c>
      <c r="AR20" s="719">
        <v>3.4999999999999996</v>
      </c>
      <c r="AS20" s="716">
        <v>28</v>
      </c>
      <c r="AT20" s="716">
        <v>0.6</v>
      </c>
      <c r="AU20" s="716">
        <v>28</v>
      </c>
      <c r="AV20" s="716">
        <f>AT20*AU20+1.4</f>
        <v>18.2</v>
      </c>
      <c r="AW20" s="716">
        <f>AR20*AS20+8.17</f>
        <v>106.16999999999999</v>
      </c>
      <c r="AX20" s="716">
        <f>AQ20*AS20</f>
        <v>114.79999999999998</v>
      </c>
      <c r="AY20" s="716">
        <f>AX20-(AV20+AW20)</f>
        <v>-9.5700000000000074</v>
      </c>
      <c r="AZ20" s="716">
        <f>100+8.35</f>
        <v>108.35</v>
      </c>
      <c r="BA20" s="716"/>
      <c r="BB20" s="720">
        <v>10000</v>
      </c>
      <c r="BC20" s="716">
        <v>52</v>
      </c>
      <c r="BD20" s="716">
        <v>10</v>
      </c>
      <c r="BE20" s="716">
        <v>80</v>
      </c>
      <c r="BF20" s="716"/>
      <c r="BG20" s="716"/>
      <c r="BH20" s="716">
        <v>150</v>
      </c>
      <c r="BI20" s="716">
        <v>60</v>
      </c>
      <c r="BJ20" s="716"/>
      <c r="BK20" s="716"/>
      <c r="BL20" s="716"/>
      <c r="BM20" s="721"/>
      <c r="BN20" s="722">
        <f t="shared" si="6"/>
        <v>584.72</v>
      </c>
      <c r="BO20" s="723"/>
      <c r="BP20" s="723"/>
      <c r="BQ20" s="724"/>
      <c r="BR20" s="703">
        <f t="shared" si="7"/>
        <v>349.99999999999994</v>
      </c>
      <c r="BS20" s="703">
        <f t="shared" si="8"/>
        <v>172</v>
      </c>
    </row>
    <row r="21" spans="1:71">
      <c r="A21" s="704" t="s">
        <v>40</v>
      </c>
      <c r="B21" s="705">
        <v>20</v>
      </c>
      <c r="C21" s="706"/>
      <c r="D21" s="707" t="s">
        <v>59</v>
      </c>
      <c r="E21" s="706" t="s">
        <v>60</v>
      </c>
      <c r="F21" s="708">
        <v>35339</v>
      </c>
      <c r="G21" s="706" t="s">
        <v>351</v>
      </c>
      <c r="H21" s="709">
        <v>70569</v>
      </c>
      <c r="I21" s="710" t="s">
        <v>323</v>
      </c>
      <c r="J21" s="733" t="s">
        <v>352</v>
      </c>
      <c r="K21" s="725"/>
      <c r="L21" s="706" t="s">
        <v>749</v>
      </c>
      <c r="M21" s="713">
        <v>23212</v>
      </c>
      <c r="N21" s="714"/>
      <c r="O21" s="714">
        <v>42.210999999999999</v>
      </c>
      <c r="P21" s="714">
        <v>36.341000000000001</v>
      </c>
      <c r="Q21" s="714">
        <v>23.332000000000001</v>
      </c>
      <c r="R21" s="714">
        <v>0.25</v>
      </c>
      <c r="S21" s="714">
        <v>83.78</v>
      </c>
      <c r="T21" s="714">
        <v>77.451999999999998</v>
      </c>
      <c r="U21" s="714">
        <v>58.689</v>
      </c>
      <c r="V21" s="714">
        <v>47.356000000000002</v>
      </c>
      <c r="W21" s="714">
        <v>34.061</v>
      </c>
      <c r="X21" s="714">
        <v>26.623999999999999</v>
      </c>
      <c r="Y21" s="714">
        <v>19.3</v>
      </c>
      <c r="Z21" s="714">
        <v>0.05</v>
      </c>
      <c r="AA21" s="714">
        <v>62.728999999999999</v>
      </c>
      <c r="AB21" s="714">
        <v>56.39</v>
      </c>
      <c r="AC21" s="704">
        <v>48.551000000000002</v>
      </c>
      <c r="AD21" s="704">
        <v>36.58</v>
      </c>
      <c r="AE21" s="704">
        <v>30.925999999999998</v>
      </c>
      <c r="AF21" s="715">
        <v>6.0549999999999997</v>
      </c>
      <c r="AG21" s="704"/>
      <c r="AH21" s="715"/>
      <c r="AI21" s="715"/>
      <c r="AJ21" s="716"/>
      <c r="AK21" s="704"/>
      <c r="AL21" s="717">
        <f t="shared" si="0"/>
        <v>5.8699999999999974</v>
      </c>
      <c r="AM21" s="718">
        <v>2.5099999999999998</v>
      </c>
      <c r="AN21" s="718">
        <v>1.74</v>
      </c>
      <c r="AO21" s="718">
        <f t="shared" si="1"/>
        <v>20.134099999999993</v>
      </c>
      <c r="AP21" s="718">
        <f t="shared" si="2"/>
        <v>24.384099999999993</v>
      </c>
      <c r="AQ21" s="719">
        <v>4.0999999999999996</v>
      </c>
      <c r="AR21" s="719">
        <v>3.4999999999999996</v>
      </c>
      <c r="AS21" s="716">
        <v>28</v>
      </c>
      <c r="AT21" s="716">
        <v>0.6</v>
      </c>
      <c r="AU21" s="716">
        <v>28</v>
      </c>
      <c r="AV21" s="716">
        <f t="shared" si="3"/>
        <v>16.8</v>
      </c>
      <c r="AW21" s="716">
        <f t="shared" si="4"/>
        <v>97.999999999999986</v>
      </c>
      <c r="AX21" s="716">
        <f t="shared" si="13"/>
        <v>114.79999999999998</v>
      </c>
      <c r="AY21" s="716">
        <f t="shared" si="11"/>
        <v>0</v>
      </c>
      <c r="AZ21" s="716">
        <v>100</v>
      </c>
      <c r="BA21" s="716">
        <v>32.5</v>
      </c>
      <c r="BB21" s="720">
        <v>10000</v>
      </c>
      <c r="BC21" s="716">
        <v>52</v>
      </c>
      <c r="BD21" s="716">
        <v>10</v>
      </c>
      <c r="BE21" s="716">
        <v>80</v>
      </c>
      <c r="BF21" s="716"/>
      <c r="BG21" s="716"/>
      <c r="BH21" s="716"/>
      <c r="BI21" s="716"/>
      <c r="BJ21" s="716"/>
      <c r="BK21" s="716"/>
      <c r="BL21" s="716"/>
      <c r="BM21" s="721"/>
      <c r="BN21" s="722">
        <f t="shared" si="6"/>
        <v>413.68409999999994</v>
      </c>
      <c r="BO21" s="723"/>
      <c r="BP21" s="723"/>
      <c r="BQ21" s="724"/>
      <c r="BR21" s="703">
        <f t="shared" si="7"/>
        <v>349.99999999999994</v>
      </c>
      <c r="BS21" s="703">
        <f t="shared" si="8"/>
        <v>173</v>
      </c>
    </row>
    <row r="22" spans="1:71">
      <c r="A22" s="704" t="s">
        <v>40</v>
      </c>
      <c r="B22" s="705">
        <v>21</v>
      </c>
      <c r="C22" s="706"/>
      <c r="D22" s="707" t="s">
        <v>977</v>
      </c>
      <c r="E22" s="706" t="s">
        <v>978</v>
      </c>
      <c r="F22" s="708">
        <v>45427</v>
      </c>
      <c r="G22" s="706" t="s">
        <v>979</v>
      </c>
      <c r="H22" s="709">
        <v>70619</v>
      </c>
      <c r="I22" s="710" t="s">
        <v>323</v>
      </c>
      <c r="J22" s="733"/>
      <c r="K22" s="725" t="s">
        <v>980</v>
      </c>
      <c r="L22" s="706" t="s">
        <v>981</v>
      </c>
      <c r="M22" s="713">
        <v>33081</v>
      </c>
      <c r="N22" s="714" t="s">
        <v>982</v>
      </c>
      <c r="O22" s="714">
        <v>18.448</v>
      </c>
      <c r="P22" s="714">
        <v>6.1820000000000004</v>
      </c>
      <c r="Q22" s="714"/>
      <c r="R22" s="714"/>
      <c r="S22" s="714"/>
      <c r="T22" s="714"/>
      <c r="U22" s="714"/>
      <c r="V22" s="714"/>
      <c r="W22" s="714"/>
      <c r="X22" s="714"/>
      <c r="Y22" s="714"/>
      <c r="Z22" s="714"/>
      <c r="AA22" s="714"/>
      <c r="AB22" s="714"/>
      <c r="AC22" s="704"/>
      <c r="AD22" s="704"/>
      <c r="AE22" s="704"/>
      <c r="AF22" s="715"/>
      <c r="AG22" s="704"/>
      <c r="AH22" s="715"/>
      <c r="AI22" s="715"/>
      <c r="AJ22" s="716"/>
      <c r="AK22" s="704"/>
      <c r="AL22" s="717">
        <f t="shared" si="0"/>
        <v>12.266</v>
      </c>
      <c r="AM22" s="718">
        <v>2.5099999999999998</v>
      </c>
      <c r="AN22" s="718">
        <v>1.74</v>
      </c>
      <c r="AO22" s="718">
        <f t="shared" si="1"/>
        <v>42.072380000000003</v>
      </c>
      <c r="AP22" s="718">
        <f t="shared" si="2"/>
        <v>46.322380000000003</v>
      </c>
      <c r="AQ22" s="719">
        <v>4.0999999999999996</v>
      </c>
      <c r="AR22" s="719">
        <v>3.4999999999999996</v>
      </c>
      <c r="AS22" s="716">
        <v>28</v>
      </c>
      <c r="AT22" s="716">
        <v>0.6</v>
      </c>
      <c r="AU22" s="716">
        <v>28</v>
      </c>
      <c r="AV22" s="716">
        <f>(AT22*AU22)+((AT22*AU22)/12*6)</f>
        <v>25.200000000000003</v>
      </c>
      <c r="AW22" s="716">
        <f>(AR22*AS22)+(AR22*AS22)/12*6</f>
        <v>147</v>
      </c>
      <c r="AX22" s="716">
        <f t="shared" ref="AX22" si="14">AQ22*AS22</f>
        <v>114.79999999999998</v>
      </c>
      <c r="AY22" s="716">
        <f t="shared" ref="AY22" si="15">AX22-(AV22+AW22)</f>
        <v>-57.400000000000006</v>
      </c>
      <c r="AZ22" s="716">
        <v>200</v>
      </c>
      <c r="BA22" s="716">
        <v>65</v>
      </c>
      <c r="BB22" s="720">
        <v>10000</v>
      </c>
      <c r="BC22" s="716">
        <v>104</v>
      </c>
      <c r="BD22" s="716">
        <v>20</v>
      </c>
      <c r="BE22" s="716">
        <v>80</v>
      </c>
      <c r="BF22" s="716"/>
      <c r="BG22" s="716"/>
      <c r="BH22" s="716">
        <v>150</v>
      </c>
      <c r="BI22" s="716"/>
      <c r="BJ22" s="716"/>
      <c r="BK22" s="716"/>
      <c r="BL22" s="716"/>
      <c r="BM22" s="721"/>
      <c r="BN22" s="722">
        <f t="shared" si="6"/>
        <v>837.52238</v>
      </c>
      <c r="BO22" s="723"/>
      <c r="BP22" s="723"/>
      <c r="BQ22" s="724"/>
      <c r="BR22" s="703">
        <f t="shared" si="7"/>
        <v>349.99999999999994</v>
      </c>
      <c r="BS22" s="703">
        <f t="shared" si="8"/>
        <v>174</v>
      </c>
    </row>
    <row r="23" spans="1:71">
      <c r="A23" s="704" t="s">
        <v>40</v>
      </c>
      <c r="B23" s="705">
        <v>22</v>
      </c>
      <c r="C23" s="704"/>
      <c r="D23" s="732" t="s">
        <v>867</v>
      </c>
      <c r="E23" s="706" t="s">
        <v>603</v>
      </c>
      <c r="F23" s="708">
        <v>45122</v>
      </c>
      <c r="G23" s="706" t="s">
        <v>868</v>
      </c>
      <c r="H23" s="709">
        <v>70565</v>
      </c>
      <c r="I23" s="710" t="s">
        <v>323</v>
      </c>
      <c r="J23" s="726"/>
      <c r="K23" s="711" t="s">
        <v>869</v>
      </c>
      <c r="L23" s="706" t="s">
        <v>870</v>
      </c>
      <c r="M23" s="713">
        <v>28488</v>
      </c>
      <c r="N23" s="713" t="s">
        <v>871</v>
      </c>
      <c r="O23" s="714">
        <v>34.701999999999998</v>
      </c>
      <c r="P23" s="714">
        <v>28.462</v>
      </c>
      <c r="Q23" s="714">
        <v>18.945</v>
      </c>
      <c r="R23" s="714">
        <v>0.25</v>
      </c>
      <c r="S23" s="714">
        <v>92.742999999999995</v>
      </c>
      <c r="T23" s="714">
        <v>88.906999999999996</v>
      </c>
      <c r="U23" s="714">
        <v>76.338999999999999</v>
      </c>
      <c r="V23" s="714">
        <v>68.763000000000005</v>
      </c>
      <c r="W23" s="714">
        <v>52.11</v>
      </c>
      <c r="X23" s="714">
        <v>40.463999999999999</v>
      </c>
      <c r="Y23" s="714">
        <v>24.31</v>
      </c>
      <c r="Z23" s="714">
        <v>0.05</v>
      </c>
      <c r="AA23" s="714">
        <v>63.387999999999998</v>
      </c>
      <c r="AB23" s="714">
        <v>60.87</v>
      </c>
      <c r="AC23" s="704">
        <v>58.03</v>
      </c>
      <c r="AD23" s="704">
        <v>54.796999999999997</v>
      </c>
      <c r="AE23" s="704">
        <v>18.904</v>
      </c>
      <c r="AF23" s="715">
        <v>8.3249999999999993</v>
      </c>
      <c r="AG23" s="704"/>
      <c r="AH23" s="715"/>
      <c r="AI23" s="715"/>
      <c r="AJ23" s="716"/>
      <c r="AK23" s="704"/>
      <c r="AL23" s="717">
        <f t="shared" si="0"/>
        <v>6.2399999999999984</v>
      </c>
      <c r="AM23" s="718">
        <v>2.5099999999999998</v>
      </c>
      <c r="AN23" s="718">
        <v>1.74</v>
      </c>
      <c r="AO23" s="718">
        <f t="shared" si="1"/>
        <v>21.403199999999995</v>
      </c>
      <c r="AP23" s="718">
        <f t="shared" si="2"/>
        <v>25.653199999999995</v>
      </c>
      <c r="AQ23" s="719">
        <v>4.0999999999999996</v>
      </c>
      <c r="AR23" s="719">
        <v>3.4999999999999996</v>
      </c>
      <c r="AS23" s="716">
        <v>28</v>
      </c>
      <c r="AT23" s="716">
        <v>0.6</v>
      </c>
      <c r="AU23" s="716">
        <v>28</v>
      </c>
      <c r="AV23" s="716">
        <f t="shared" si="3"/>
        <v>16.8</v>
      </c>
      <c r="AW23" s="716">
        <f t="shared" si="4"/>
        <v>97.999999999999986</v>
      </c>
      <c r="AX23" s="716">
        <f>AQ23*AS23</f>
        <v>114.79999999999998</v>
      </c>
      <c r="AY23" s="716">
        <f t="shared" si="11"/>
        <v>0</v>
      </c>
      <c r="AZ23" s="716">
        <v>100</v>
      </c>
      <c r="BA23" s="716"/>
      <c r="BB23" s="720">
        <v>10000</v>
      </c>
      <c r="BC23" s="716">
        <v>52</v>
      </c>
      <c r="BD23" s="716">
        <v>10</v>
      </c>
      <c r="BE23" s="716">
        <v>80</v>
      </c>
      <c r="BF23" s="716"/>
      <c r="BG23" s="716"/>
      <c r="BH23" s="716"/>
      <c r="BI23" s="716"/>
      <c r="BJ23" s="716"/>
      <c r="BK23" s="716"/>
      <c r="BL23" s="716"/>
      <c r="BM23" s="721"/>
      <c r="BN23" s="722">
        <f t="shared" si="6"/>
        <v>382.45319999999998</v>
      </c>
      <c r="BO23" s="723"/>
      <c r="BP23" s="723"/>
      <c r="BQ23" s="724"/>
      <c r="BR23" s="703">
        <f t="shared" si="7"/>
        <v>349.99999999999994</v>
      </c>
      <c r="BS23" s="703">
        <f t="shared" si="8"/>
        <v>175</v>
      </c>
    </row>
    <row r="24" spans="1:71">
      <c r="A24" s="704" t="s">
        <v>40</v>
      </c>
      <c r="B24" s="705">
        <v>23</v>
      </c>
      <c r="C24" s="706"/>
      <c r="D24" s="707" t="s">
        <v>290</v>
      </c>
      <c r="E24" s="706" t="s">
        <v>291</v>
      </c>
      <c r="F24" s="708">
        <v>43678</v>
      </c>
      <c r="G24" s="706" t="s">
        <v>353</v>
      </c>
      <c r="H24" s="709">
        <v>70182</v>
      </c>
      <c r="I24" s="710" t="s">
        <v>323</v>
      </c>
      <c r="J24" s="711"/>
      <c r="K24" s="733" t="s">
        <v>354</v>
      </c>
      <c r="L24" s="706" t="s">
        <v>355</v>
      </c>
      <c r="M24" s="713">
        <v>31842</v>
      </c>
      <c r="N24" s="714" t="s">
        <v>356</v>
      </c>
      <c r="O24" s="714">
        <v>8.0489999999999995</v>
      </c>
      <c r="P24" s="714">
        <v>7.5949999999999998</v>
      </c>
      <c r="Q24" s="714">
        <v>4.101</v>
      </c>
      <c r="R24" s="714">
        <v>0.25</v>
      </c>
      <c r="S24" s="714">
        <v>29.257000000000001</v>
      </c>
      <c r="T24" s="714">
        <v>27.916</v>
      </c>
      <c r="U24" s="714">
        <v>22.308</v>
      </c>
      <c r="V24" s="714">
        <v>21.824999999999999</v>
      </c>
      <c r="W24" s="714">
        <v>21.811</v>
      </c>
      <c r="X24" s="714">
        <v>20.861999999999998</v>
      </c>
      <c r="Y24" s="714">
        <v>20.74</v>
      </c>
      <c r="Z24" s="714">
        <v>0.05</v>
      </c>
      <c r="AA24" s="714">
        <v>5.3789999999999996</v>
      </c>
      <c r="AB24" s="714">
        <v>4.79</v>
      </c>
      <c r="AC24" s="704">
        <v>4.5430000000000001</v>
      </c>
      <c r="AD24" s="704">
        <v>3.363</v>
      </c>
      <c r="AE24" s="704">
        <v>2.544</v>
      </c>
      <c r="AF24" s="715">
        <v>2.0870000000000002</v>
      </c>
      <c r="AG24" s="704"/>
      <c r="AH24" s="715"/>
      <c r="AI24" s="715"/>
      <c r="AJ24" s="716"/>
      <c r="AK24" s="704"/>
      <c r="AL24" s="717">
        <f t="shared" si="0"/>
        <v>0.45399999999999974</v>
      </c>
      <c r="AM24" s="718">
        <v>2.5099999999999998</v>
      </c>
      <c r="AN24" s="718">
        <v>1.74</v>
      </c>
      <c r="AO24" s="718">
        <f t="shared" si="1"/>
        <v>1.5572199999999992</v>
      </c>
      <c r="AP24" s="718">
        <f t="shared" si="2"/>
        <v>5.8072199999999992</v>
      </c>
      <c r="AQ24" s="719">
        <v>3.6</v>
      </c>
      <c r="AR24" s="719">
        <v>3</v>
      </c>
      <c r="AS24" s="716">
        <v>28</v>
      </c>
      <c r="AT24" s="716">
        <v>0.6</v>
      </c>
      <c r="AU24" s="716">
        <v>28</v>
      </c>
      <c r="AV24" s="716">
        <f t="shared" si="3"/>
        <v>16.8</v>
      </c>
      <c r="AW24" s="716">
        <f t="shared" si="4"/>
        <v>84</v>
      </c>
      <c r="AX24" s="716">
        <f t="shared" ref="AX24" si="16">AQ24*AS24</f>
        <v>100.8</v>
      </c>
      <c r="AY24" s="716">
        <f t="shared" si="11"/>
        <v>0</v>
      </c>
      <c r="AZ24" s="716">
        <v>100</v>
      </c>
      <c r="BA24" s="716">
        <v>32.5</v>
      </c>
      <c r="BB24" s="720">
        <v>8000</v>
      </c>
      <c r="BC24" s="716">
        <v>37.5</v>
      </c>
      <c r="BD24" s="716">
        <v>10</v>
      </c>
      <c r="BE24" s="716">
        <v>80</v>
      </c>
      <c r="BF24" s="716"/>
      <c r="BG24" s="716"/>
      <c r="BH24" s="716"/>
      <c r="BI24" s="716"/>
      <c r="BJ24" s="716"/>
      <c r="BK24" s="716"/>
      <c r="BL24" s="716"/>
      <c r="BM24" s="721"/>
      <c r="BN24" s="722">
        <f t="shared" si="6"/>
        <v>366.60721999999998</v>
      </c>
      <c r="BO24" s="723"/>
      <c r="BP24" s="723"/>
      <c r="BQ24" s="724"/>
      <c r="BR24" s="703">
        <f t="shared" si="7"/>
        <v>300</v>
      </c>
      <c r="BS24" s="703">
        <f t="shared" si="8"/>
        <v>176</v>
      </c>
    </row>
    <row r="25" spans="1:71">
      <c r="A25" s="704" t="s">
        <v>40</v>
      </c>
      <c r="B25" s="705">
        <v>24</v>
      </c>
      <c r="C25" s="706"/>
      <c r="D25" s="707" t="s">
        <v>750</v>
      </c>
      <c r="E25" s="706" t="s">
        <v>751</v>
      </c>
      <c r="F25" s="708">
        <v>44896</v>
      </c>
      <c r="G25" s="706" t="s">
        <v>752</v>
      </c>
      <c r="H25" s="709">
        <v>70176</v>
      </c>
      <c r="I25" s="710" t="s">
        <v>323</v>
      </c>
      <c r="J25" s="711"/>
      <c r="K25" s="725" t="s">
        <v>753</v>
      </c>
      <c r="L25" s="706" t="s">
        <v>754</v>
      </c>
      <c r="M25" s="713">
        <v>32393</v>
      </c>
      <c r="N25" s="714" t="s">
        <v>755</v>
      </c>
      <c r="O25" s="714">
        <v>21.079000000000001</v>
      </c>
      <c r="P25" s="714">
        <v>17.527999999999999</v>
      </c>
      <c r="Q25" s="714">
        <v>3.0459999999999998</v>
      </c>
      <c r="R25" s="714">
        <v>0.25</v>
      </c>
      <c r="S25" s="714">
        <v>6.1710000000000003</v>
      </c>
      <c r="T25" s="714">
        <v>6.1710000000000003</v>
      </c>
      <c r="U25" s="714">
        <v>6.1710000000000003</v>
      </c>
      <c r="V25" s="714">
        <v>5.875</v>
      </c>
      <c r="W25" s="714">
        <v>5.2629999999999999</v>
      </c>
      <c r="X25" s="714">
        <v>4.3760000000000003</v>
      </c>
      <c r="Y25" s="714">
        <v>1.97</v>
      </c>
      <c r="Z25" s="714">
        <v>0.05</v>
      </c>
      <c r="AA25" s="714">
        <v>29.687999999999999</v>
      </c>
      <c r="AB25" s="714">
        <v>27.62</v>
      </c>
      <c r="AC25" s="704">
        <v>25.018000000000001</v>
      </c>
      <c r="AD25" s="704">
        <v>22.01</v>
      </c>
      <c r="AE25" s="704">
        <v>19.007000000000001</v>
      </c>
      <c r="AF25" s="715">
        <v>13.827999999999999</v>
      </c>
      <c r="AG25" s="704"/>
      <c r="AH25" s="715"/>
      <c r="AI25" s="715"/>
      <c r="AJ25" s="716"/>
      <c r="AK25" s="704"/>
      <c r="AL25" s="717">
        <f t="shared" si="0"/>
        <v>3.5510000000000019</v>
      </c>
      <c r="AM25" s="718">
        <v>2.5099999999999998</v>
      </c>
      <c r="AN25" s="718">
        <v>1.74</v>
      </c>
      <c r="AO25" s="718">
        <f t="shared" si="1"/>
        <v>12.179930000000008</v>
      </c>
      <c r="AP25" s="718">
        <f t="shared" si="2"/>
        <v>16.429930000000006</v>
      </c>
      <c r="AQ25" s="719">
        <v>4.0999999999999996</v>
      </c>
      <c r="AR25" s="719">
        <v>3.4999999999999996</v>
      </c>
      <c r="AS25" s="716">
        <v>28</v>
      </c>
      <c r="AT25" s="716">
        <v>0.6</v>
      </c>
      <c r="AU25" s="716">
        <v>28</v>
      </c>
      <c r="AV25" s="716">
        <f t="shared" si="3"/>
        <v>16.8</v>
      </c>
      <c r="AW25" s="716">
        <f t="shared" si="4"/>
        <v>97.999999999999986</v>
      </c>
      <c r="AX25" s="716">
        <f>AQ25*AS25</f>
        <v>114.79999999999998</v>
      </c>
      <c r="AY25" s="716">
        <f t="shared" si="11"/>
        <v>0</v>
      </c>
      <c r="AZ25" s="716">
        <v>100</v>
      </c>
      <c r="BA25" s="716"/>
      <c r="BB25" s="720">
        <v>10000</v>
      </c>
      <c r="BC25" s="716">
        <v>52</v>
      </c>
      <c r="BD25" s="716">
        <v>10</v>
      </c>
      <c r="BE25" s="716">
        <v>80</v>
      </c>
      <c r="BF25" s="716"/>
      <c r="BG25" s="716"/>
      <c r="BH25" s="716"/>
      <c r="BI25" s="716"/>
      <c r="BJ25" s="716"/>
      <c r="BK25" s="716"/>
      <c r="BL25" s="716"/>
      <c r="BM25" s="721">
        <v>60</v>
      </c>
      <c r="BN25" s="722">
        <f t="shared" si="6"/>
        <v>433.22992999999997</v>
      </c>
      <c r="BO25" s="723"/>
      <c r="BP25" s="723"/>
      <c r="BQ25" s="724"/>
      <c r="BR25" s="703">
        <f t="shared" si="7"/>
        <v>349.99999999999994</v>
      </c>
      <c r="BS25" s="703">
        <f t="shared" si="8"/>
        <v>177</v>
      </c>
    </row>
    <row r="26" spans="1:71">
      <c r="A26" s="704" t="s">
        <v>40</v>
      </c>
      <c r="B26" s="705">
        <v>25</v>
      </c>
      <c r="C26" s="706"/>
      <c r="D26" s="707" t="s">
        <v>62</v>
      </c>
      <c r="E26" s="706" t="s">
        <v>63</v>
      </c>
      <c r="F26" s="708">
        <v>37076</v>
      </c>
      <c r="G26" s="706" t="s">
        <v>357</v>
      </c>
      <c r="H26" s="709">
        <v>70435</v>
      </c>
      <c r="I26" s="710" t="s">
        <v>323</v>
      </c>
      <c r="J26" s="711" t="s">
        <v>358</v>
      </c>
      <c r="K26" s="725" t="s">
        <v>359</v>
      </c>
      <c r="L26" s="706" t="s">
        <v>360</v>
      </c>
      <c r="M26" s="713">
        <v>20003</v>
      </c>
      <c r="N26" s="714"/>
      <c r="O26" s="714">
        <v>24.164000000000001</v>
      </c>
      <c r="P26" s="714">
        <v>19.632000000000001</v>
      </c>
      <c r="Q26" s="714">
        <v>7.2539999999999996</v>
      </c>
      <c r="R26" s="714">
        <v>0.25</v>
      </c>
      <c r="S26" s="714">
        <v>54.387</v>
      </c>
      <c r="T26" s="714">
        <v>52.26</v>
      </c>
      <c r="U26" s="714">
        <v>39.088999999999999</v>
      </c>
      <c r="V26" s="714">
        <v>33.954000000000001</v>
      </c>
      <c r="W26" s="714">
        <v>23.916</v>
      </c>
      <c r="X26" s="714">
        <v>16.582999999999998</v>
      </c>
      <c r="Y26" s="714">
        <v>11.04</v>
      </c>
      <c r="Z26" s="714">
        <v>0.05</v>
      </c>
      <c r="AA26" s="714">
        <v>78.445999999999998</v>
      </c>
      <c r="AB26" s="714">
        <v>72.953999999999994</v>
      </c>
      <c r="AC26" s="704">
        <v>67.432000000000002</v>
      </c>
      <c r="AD26" s="704">
        <v>60.189</v>
      </c>
      <c r="AE26" s="704">
        <v>50.526000000000003</v>
      </c>
      <c r="AF26" s="715">
        <v>15.848000000000001</v>
      </c>
      <c r="AG26" s="704"/>
      <c r="AH26" s="715"/>
      <c r="AI26" s="715"/>
      <c r="AJ26" s="716"/>
      <c r="AK26" s="704"/>
      <c r="AL26" s="717">
        <f t="shared" si="0"/>
        <v>4.532</v>
      </c>
      <c r="AM26" s="718">
        <v>2.5099999999999998</v>
      </c>
      <c r="AN26" s="718">
        <v>1.74</v>
      </c>
      <c r="AO26" s="718">
        <f t="shared" si="1"/>
        <v>15.54476</v>
      </c>
      <c r="AP26" s="718">
        <f t="shared" si="2"/>
        <v>19.79476</v>
      </c>
      <c r="AQ26" s="719">
        <v>3.6</v>
      </c>
      <c r="AR26" s="719">
        <v>3</v>
      </c>
      <c r="AS26" s="716">
        <v>28</v>
      </c>
      <c r="AT26" s="716">
        <v>0.6</v>
      </c>
      <c r="AU26" s="716">
        <v>28</v>
      </c>
      <c r="AV26" s="716">
        <f t="shared" si="3"/>
        <v>16.8</v>
      </c>
      <c r="AW26" s="716">
        <f t="shared" si="4"/>
        <v>84</v>
      </c>
      <c r="AX26" s="716">
        <f t="shared" ref="AX26:AX35" si="17">AQ26*AS26</f>
        <v>100.8</v>
      </c>
      <c r="AY26" s="716">
        <f t="shared" si="11"/>
        <v>0</v>
      </c>
      <c r="AZ26" s="716">
        <v>100</v>
      </c>
      <c r="BA26" s="716">
        <v>32.5</v>
      </c>
      <c r="BB26" s="720"/>
      <c r="BC26" s="716"/>
      <c r="BD26" s="716">
        <v>10</v>
      </c>
      <c r="BE26" s="716">
        <v>80</v>
      </c>
      <c r="BF26" s="716"/>
      <c r="BG26" s="716"/>
      <c r="BH26" s="716"/>
      <c r="BI26" s="716"/>
      <c r="BJ26" s="716"/>
      <c r="BK26" s="716"/>
      <c r="BL26" s="716"/>
      <c r="BM26" s="721"/>
      <c r="BN26" s="722">
        <f t="shared" si="6"/>
        <v>343.09476000000001</v>
      </c>
      <c r="BO26" s="723"/>
      <c r="BP26" s="723"/>
      <c r="BQ26" s="724"/>
      <c r="BR26" s="703">
        <f t="shared" si="7"/>
        <v>300</v>
      </c>
      <c r="BS26" s="703">
        <f t="shared" si="8"/>
        <v>178</v>
      </c>
    </row>
    <row r="27" spans="1:71">
      <c r="A27" s="704" t="s">
        <v>40</v>
      </c>
      <c r="B27" s="705">
        <v>26</v>
      </c>
      <c r="C27" s="706"/>
      <c r="D27" s="707" t="s">
        <v>983</v>
      </c>
      <c r="E27" s="706" t="s">
        <v>176</v>
      </c>
      <c r="F27" s="708">
        <v>45413</v>
      </c>
      <c r="G27" s="706" t="s">
        <v>984</v>
      </c>
      <c r="H27" s="709">
        <v>70619</v>
      </c>
      <c r="I27" s="710" t="s">
        <v>323</v>
      </c>
      <c r="J27" s="711"/>
      <c r="K27" s="712" t="s">
        <v>985</v>
      </c>
      <c r="L27" s="706" t="s">
        <v>986</v>
      </c>
      <c r="M27" s="713">
        <v>33937</v>
      </c>
      <c r="N27" s="714" t="s">
        <v>987</v>
      </c>
      <c r="O27" s="714">
        <v>45.462000000000003</v>
      </c>
      <c r="P27" s="714">
        <v>42.322000000000003</v>
      </c>
      <c r="Q27" s="714"/>
      <c r="R27" s="714"/>
      <c r="S27" s="714"/>
      <c r="T27" s="714"/>
      <c r="U27" s="714"/>
      <c r="V27" s="714"/>
      <c r="W27" s="714"/>
      <c r="X27" s="714"/>
      <c r="Y27" s="714"/>
      <c r="Z27" s="714"/>
      <c r="AA27" s="714"/>
      <c r="AB27" s="714"/>
      <c r="AC27" s="704"/>
      <c r="AD27" s="704"/>
      <c r="AE27" s="704"/>
      <c r="AF27" s="715"/>
      <c r="AG27" s="704"/>
      <c r="AH27" s="715"/>
      <c r="AI27" s="715"/>
      <c r="AJ27" s="716"/>
      <c r="AK27" s="704"/>
      <c r="AL27" s="717">
        <f t="shared" si="0"/>
        <v>3.1400000000000006</v>
      </c>
      <c r="AM27" s="718">
        <v>2.5099999999999998</v>
      </c>
      <c r="AN27" s="718">
        <v>1.74</v>
      </c>
      <c r="AO27" s="718">
        <f t="shared" si="1"/>
        <v>10.770200000000003</v>
      </c>
      <c r="AP27" s="718">
        <f t="shared" si="2"/>
        <v>15.020200000000003</v>
      </c>
      <c r="AQ27" s="719">
        <v>4.0999999999999996</v>
      </c>
      <c r="AR27" s="719">
        <v>3.4999999999999996</v>
      </c>
      <c r="AS27" s="716">
        <v>28</v>
      </c>
      <c r="AT27" s="716">
        <v>0.6</v>
      </c>
      <c r="AU27" s="716">
        <v>28</v>
      </c>
      <c r="AV27" s="716">
        <f>(AT27*AU27)+((AT27*AU27)/12*7)</f>
        <v>26.6</v>
      </c>
      <c r="AW27" s="716">
        <f>(AR27*AS27)+(AR27*AS27)/12*7</f>
        <v>155.16666666666666</v>
      </c>
      <c r="AX27" s="716">
        <f t="shared" ref="AX27" si="18">AQ27*AS27</f>
        <v>114.79999999999998</v>
      </c>
      <c r="AY27" s="716">
        <f t="shared" ref="AY27" si="19">AX27-(AV27+AW27)</f>
        <v>-66.966666666666669</v>
      </c>
      <c r="AZ27" s="716">
        <v>100</v>
      </c>
      <c r="BA27" s="716"/>
      <c r="BB27" s="720">
        <v>10000</v>
      </c>
      <c r="BC27" s="716">
        <v>104</v>
      </c>
      <c r="BD27" s="716">
        <v>20</v>
      </c>
      <c r="BE27" s="716">
        <v>80</v>
      </c>
      <c r="BF27" s="716"/>
      <c r="BG27" s="716"/>
      <c r="BH27" s="716"/>
      <c r="BI27" s="716"/>
      <c r="BJ27" s="716"/>
      <c r="BK27" s="716"/>
      <c r="BL27" s="716"/>
      <c r="BM27" s="721"/>
      <c r="BN27" s="722">
        <f t="shared" si="6"/>
        <v>500.7868666666667</v>
      </c>
      <c r="BO27" s="723"/>
      <c r="BP27" s="723"/>
      <c r="BQ27" s="724"/>
      <c r="BR27" s="703">
        <f t="shared" si="7"/>
        <v>349.99999999999994</v>
      </c>
      <c r="BS27" s="703">
        <f t="shared" si="8"/>
        <v>179</v>
      </c>
    </row>
    <row r="28" spans="1:71">
      <c r="A28" s="704" t="s">
        <v>40</v>
      </c>
      <c r="B28" s="705">
        <v>27</v>
      </c>
      <c r="C28" s="706"/>
      <c r="D28" s="707" t="s">
        <v>708</v>
      </c>
      <c r="E28" s="706" t="s">
        <v>709</v>
      </c>
      <c r="F28" s="708">
        <v>44531</v>
      </c>
      <c r="G28" s="706" t="s">
        <v>710</v>
      </c>
      <c r="H28" s="709">
        <v>70619</v>
      </c>
      <c r="I28" s="710" t="s">
        <v>323</v>
      </c>
      <c r="J28" s="711" t="s">
        <v>711</v>
      </c>
      <c r="K28" s="725"/>
      <c r="L28" s="706" t="s">
        <v>712</v>
      </c>
      <c r="M28" s="713">
        <v>22666</v>
      </c>
      <c r="N28" s="714" t="s">
        <v>713</v>
      </c>
      <c r="O28" s="714">
        <v>23.678999999999998</v>
      </c>
      <c r="P28" s="714">
        <v>20.420000000000002</v>
      </c>
      <c r="Q28" s="714">
        <v>11.599</v>
      </c>
      <c r="R28" s="714">
        <v>0.25</v>
      </c>
      <c r="S28" s="714"/>
      <c r="T28" s="714"/>
      <c r="U28" s="714"/>
      <c r="V28" s="714"/>
      <c r="W28" s="714"/>
      <c r="X28" s="714"/>
      <c r="Y28" s="714"/>
      <c r="Z28" s="714"/>
      <c r="AA28" s="714"/>
      <c r="AB28" s="714"/>
      <c r="AC28" s="704"/>
      <c r="AD28" s="704"/>
      <c r="AE28" s="704"/>
      <c r="AF28" s="715"/>
      <c r="AG28" s="704"/>
      <c r="AH28" s="715"/>
      <c r="AI28" s="715"/>
      <c r="AJ28" s="716"/>
      <c r="AK28" s="704"/>
      <c r="AL28" s="717">
        <f t="shared" si="0"/>
        <v>3.2589999999999968</v>
      </c>
      <c r="AM28" s="718">
        <v>2.5099999999999998</v>
      </c>
      <c r="AN28" s="718">
        <v>1.74</v>
      </c>
      <c r="AO28" s="718">
        <f t="shared" si="1"/>
        <v>11.17836999999999</v>
      </c>
      <c r="AP28" s="718">
        <f t="shared" si="2"/>
        <v>15.42836999999999</v>
      </c>
      <c r="AQ28" s="719">
        <v>3.6</v>
      </c>
      <c r="AR28" s="719">
        <v>3</v>
      </c>
      <c r="AS28" s="716">
        <v>28</v>
      </c>
      <c r="AT28" s="716">
        <v>0.6</v>
      </c>
      <c r="AU28" s="716">
        <v>28</v>
      </c>
      <c r="AV28" s="716">
        <f t="shared" si="3"/>
        <v>16.8</v>
      </c>
      <c r="AW28" s="716">
        <f t="shared" si="4"/>
        <v>84</v>
      </c>
      <c r="AX28" s="716">
        <f t="shared" si="17"/>
        <v>100.8</v>
      </c>
      <c r="AY28" s="716">
        <f t="shared" si="11"/>
        <v>0</v>
      </c>
      <c r="AZ28" s="716">
        <v>100</v>
      </c>
      <c r="BA28" s="716"/>
      <c r="BB28" s="720">
        <v>10000</v>
      </c>
      <c r="BC28" s="716">
        <v>52</v>
      </c>
      <c r="BD28" s="716">
        <v>10</v>
      </c>
      <c r="BE28" s="716">
        <v>80</v>
      </c>
      <c r="BF28" s="716"/>
      <c r="BG28" s="716"/>
      <c r="BH28" s="716"/>
      <c r="BI28" s="716"/>
      <c r="BJ28" s="716"/>
      <c r="BK28" s="716"/>
      <c r="BL28" s="716"/>
      <c r="BM28" s="721"/>
      <c r="BN28" s="722">
        <f t="shared" si="6"/>
        <v>358.22836999999998</v>
      </c>
      <c r="BO28" s="723"/>
      <c r="BP28" s="723"/>
      <c r="BQ28" s="724"/>
      <c r="BR28" s="703">
        <f t="shared" si="7"/>
        <v>300</v>
      </c>
      <c r="BS28" s="703">
        <f t="shared" si="8"/>
        <v>180</v>
      </c>
    </row>
    <row r="29" spans="1:71">
      <c r="A29" s="704" t="s">
        <v>40</v>
      </c>
      <c r="B29" s="705">
        <v>28</v>
      </c>
      <c r="C29" s="706"/>
      <c r="D29" s="707" t="s">
        <v>64</v>
      </c>
      <c r="E29" s="706" t="s">
        <v>65</v>
      </c>
      <c r="F29" s="708">
        <v>36312</v>
      </c>
      <c r="G29" s="706" t="s">
        <v>361</v>
      </c>
      <c r="H29" s="709">
        <v>70619</v>
      </c>
      <c r="I29" s="710" t="s">
        <v>323</v>
      </c>
      <c r="J29" s="711" t="s">
        <v>362</v>
      </c>
      <c r="K29" s="725"/>
      <c r="L29" s="706" t="s">
        <v>363</v>
      </c>
      <c r="M29" s="713">
        <v>23414</v>
      </c>
      <c r="N29" s="714"/>
      <c r="O29" s="714">
        <v>3.2080000000000002</v>
      </c>
      <c r="P29" s="714">
        <v>1.8220000000000001</v>
      </c>
      <c r="Q29" s="714">
        <v>0.84199999999999997</v>
      </c>
      <c r="R29" s="714">
        <v>0.25</v>
      </c>
      <c r="S29" s="714">
        <v>15.843</v>
      </c>
      <c r="T29" s="714">
        <v>15.83</v>
      </c>
      <c r="U29" s="714">
        <v>14.378</v>
      </c>
      <c r="V29" s="714">
        <v>12.425000000000001</v>
      </c>
      <c r="W29" s="714">
        <v>9.51</v>
      </c>
      <c r="X29" s="714">
        <v>7.7569999999999997</v>
      </c>
      <c r="Y29" s="714">
        <v>6.08</v>
      </c>
      <c r="Z29" s="714">
        <v>0.05</v>
      </c>
      <c r="AA29" s="714">
        <v>11.82</v>
      </c>
      <c r="AB29" s="714">
        <v>10.58</v>
      </c>
      <c r="AC29" s="704">
        <v>9.4960000000000004</v>
      </c>
      <c r="AD29" s="704">
        <v>8.2159999999999993</v>
      </c>
      <c r="AE29" s="704">
        <v>6.96</v>
      </c>
      <c r="AF29" s="715">
        <v>2.774</v>
      </c>
      <c r="AG29" s="704"/>
      <c r="AH29" s="715"/>
      <c r="AI29" s="715"/>
      <c r="AJ29" s="716"/>
      <c r="AK29" s="704"/>
      <c r="AL29" s="717">
        <f t="shared" si="0"/>
        <v>1.3860000000000001</v>
      </c>
      <c r="AM29" s="718">
        <v>2.5099999999999998</v>
      </c>
      <c r="AN29" s="718">
        <v>1.74</v>
      </c>
      <c r="AO29" s="718">
        <f t="shared" si="1"/>
        <v>4.7539800000000003</v>
      </c>
      <c r="AP29" s="718">
        <f t="shared" si="2"/>
        <v>9.0039800000000003</v>
      </c>
      <c r="AQ29" s="719">
        <v>3.6</v>
      </c>
      <c r="AR29" s="719">
        <v>3</v>
      </c>
      <c r="AS29" s="716">
        <v>28</v>
      </c>
      <c r="AT29" s="716">
        <v>0.6</v>
      </c>
      <c r="AU29" s="716">
        <v>28</v>
      </c>
      <c r="AV29" s="716">
        <f t="shared" si="3"/>
        <v>16.8</v>
      </c>
      <c r="AW29" s="716">
        <f t="shared" si="4"/>
        <v>84</v>
      </c>
      <c r="AX29" s="716">
        <f t="shared" si="17"/>
        <v>100.8</v>
      </c>
      <c r="AY29" s="716">
        <f t="shared" si="11"/>
        <v>0</v>
      </c>
      <c r="AZ29" s="716">
        <v>100</v>
      </c>
      <c r="BA29" s="716"/>
      <c r="BB29" s="720">
        <v>7000</v>
      </c>
      <c r="BC29" s="716">
        <v>33.5</v>
      </c>
      <c r="BD29" s="716">
        <v>10</v>
      </c>
      <c r="BE29" s="716">
        <v>80</v>
      </c>
      <c r="BF29" s="716"/>
      <c r="BG29" s="716"/>
      <c r="BH29" s="716"/>
      <c r="BI29" s="716"/>
      <c r="BJ29" s="716"/>
      <c r="BK29" s="716"/>
      <c r="BL29" s="716"/>
      <c r="BM29" s="721"/>
      <c r="BN29" s="722">
        <f t="shared" si="6"/>
        <v>333.30398000000002</v>
      </c>
      <c r="BO29" s="723"/>
      <c r="BP29" s="723"/>
      <c r="BQ29" s="724"/>
      <c r="BR29" s="703">
        <f t="shared" si="7"/>
        <v>300</v>
      </c>
      <c r="BS29" s="703">
        <f t="shared" si="8"/>
        <v>181</v>
      </c>
    </row>
    <row r="30" spans="1:71">
      <c r="A30" s="704" t="s">
        <v>40</v>
      </c>
      <c r="B30" s="705">
        <v>29</v>
      </c>
      <c r="C30" s="706"/>
      <c r="D30" s="707" t="s">
        <v>66</v>
      </c>
      <c r="E30" s="706" t="s">
        <v>67</v>
      </c>
      <c r="F30" s="708">
        <v>35004</v>
      </c>
      <c r="G30" s="706" t="s">
        <v>364</v>
      </c>
      <c r="H30" s="709">
        <v>70619</v>
      </c>
      <c r="I30" s="710" t="s">
        <v>323</v>
      </c>
      <c r="J30" s="711" t="s">
        <v>365</v>
      </c>
      <c r="K30" s="725"/>
      <c r="L30" s="706" t="s">
        <v>366</v>
      </c>
      <c r="M30" s="713">
        <v>24147</v>
      </c>
      <c r="N30" s="714"/>
      <c r="O30" s="714">
        <v>23.78</v>
      </c>
      <c r="P30" s="714">
        <v>19.927</v>
      </c>
      <c r="Q30" s="714">
        <v>8.0419999999999998</v>
      </c>
      <c r="R30" s="714">
        <v>0.25</v>
      </c>
      <c r="S30" s="714">
        <v>47.762999999999998</v>
      </c>
      <c r="T30" s="714">
        <v>46.435000000000002</v>
      </c>
      <c r="U30" s="714">
        <v>34.386000000000003</v>
      </c>
      <c r="V30" s="714">
        <v>29.425000000000001</v>
      </c>
      <c r="W30" s="714">
        <v>20.03</v>
      </c>
      <c r="X30" s="714">
        <v>15.132999999999999</v>
      </c>
      <c r="Y30" s="714">
        <v>11.56</v>
      </c>
      <c r="Z30" s="714">
        <v>0.05</v>
      </c>
      <c r="AA30" s="714">
        <v>45.616999999999997</v>
      </c>
      <c r="AB30" s="714">
        <v>41.08</v>
      </c>
      <c r="AC30" s="704">
        <v>35.951999999999998</v>
      </c>
      <c r="AD30" s="704">
        <v>29.33</v>
      </c>
      <c r="AE30" s="704">
        <v>18.361999999999998</v>
      </c>
      <c r="AF30" s="715">
        <v>9.9909999999999997</v>
      </c>
      <c r="AG30" s="704"/>
      <c r="AH30" s="715"/>
      <c r="AI30" s="715"/>
      <c r="AJ30" s="716"/>
      <c r="AK30" s="704"/>
      <c r="AL30" s="717">
        <f t="shared" si="0"/>
        <v>3.8530000000000015</v>
      </c>
      <c r="AM30" s="718">
        <v>2.5099999999999998</v>
      </c>
      <c r="AN30" s="718">
        <v>1.74</v>
      </c>
      <c r="AO30" s="718">
        <f t="shared" si="1"/>
        <v>13.215790000000005</v>
      </c>
      <c r="AP30" s="718">
        <f t="shared" si="2"/>
        <v>17.465790000000005</v>
      </c>
      <c r="AQ30" s="719">
        <v>4.0999999999999996</v>
      </c>
      <c r="AR30" s="719">
        <v>3.4999999999999996</v>
      </c>
      <c r="AS30" s="716">
        <v>28</v>
      </c>
      <c r="AT30" s="716">
        <v>0.6</v>
      </c>
      <c r="AU30" s="716">
        <v>28</v>
      </c>
      <c r="AV30" s="716">
        <f t="shared" si="3"/>
        <v>16.8</v>
      </c>
      <c r="AW30" s="716">
        <f t="shared" si="4"/>
        <v>97.999999999999986</v>
      </c>
      <c r="AX30" s="716">
        <f t="shared" si="17"/>
        <v>114.79999999999998</v>
      </c>
      <c r="AY30" s="716">
        <f t="shared" si="11"/>
        <v>0</v>
      </c>
      <c r="AZ30" s="716">
        <v>100</v>
      </c>
      <c r="BA30" s="716"/>
      <c r="BB30" s="720"/>
      <c r="BC30" s="716"/>
      <c r="BD30" s="716">
        <v>10</v>
      </c>
      <c r="BE30" s="716">
        <v>80</v>
      </c>
      <c r="BF30" s="716"/>
      <c r="BG30" s="716"/>
      <c r="BH30" s="716"/>
      <c r="BI30" s="716"/>
      <c r="BJ30" s="716"/>
      <c r="BK30" s="716"/>
      <c r="BL30" s="716"/>
      <c r="BM30" s="721"/>
      <c r="BN30" s="722">
        <f t="shared" si="6"/>
        <v>322.26579000000004</v>
      </c>
      <c r="BO30" s="723"/>
      <c r="BP30" s="723"/>
      <c r="BQ30" s="724"/>
      <c r="BR30" s="703">
        <f t="shared" si="7"/>
        <v>349.99999999999994</v>
      </c>
      <c r="BS30" s="703">
        <f t="shared" si="8"/>
        <v>182</v>
      </c>
    </row>
    <row r="31" spans="1:71">
      <c r="A31" s="704" t="s">
        <v>40</v>
      </c>
      <c r="B31" s="705">
        <v>30</v>
      </c>
      <c r="C31" s="706"/>
      <c r="D31" s="707" t="s">
        <v>68</v>
      </c>
      <c r="E31" s="706" t="s">
        <v>69</v>
      </c>
      <c r="F31" s="708">
        <v>39661</v>
      </c>
      <c r="G31" s="738" t="s">
        <v>367</v>
      </c>
      <c r="H31" s="709">
        <v>70329</v>
      </c>
      <c r="I31" s="710" t="s">
        <v>323</v>
      </c>
      <c r="J31" s="711" t="s">
        <v>368</v>
      </c>
      <c r="K31" s="725"/>
      <c r="L31" s="706" t="s">
        <v>369</v>
      </c>
      <c r="M31" s="713">
        <v>23966</v>
      </c>
      <c r="N31" s="714"/>
      <c r="O31" s="714">
        <v>27.943999999999999</v>
      </c>
      <c r="P31" s="714">
        <v>23.742999999999999</v>
      </c>
      <c r="Q31" s="714">
        <v>10.125</v>
      </c>
      <c r="R31" s="714">
        <v>0.25</v>
      </c>
      <c r="S31" s="714">
        <v>42.472000000000001</v>
      </c>
      <c r="T31" s="714">
        <v>40.109000000000002</v>
      </c>
      <c r="U31" s="714">
        <v>31.488</v>
      </c>
      <c r="V31" s="714">
        <v>25.88</v>
      </c>
      <c r="W31" s="714">
        <v>20.111000000000001</v>
      </c>
      <c r="X31" s="714">
        <v>15.034000000000001</v>
      </c>
      <c r="Y31" s="714">
        <v>12.57</v>
      </c>
      <c r="Z31" s="714">
        <v>0.05</v>
      </c>
      <c r="AA31" s="714">
        <v>32.127000000000002</v>
      </c>
      <c r="AB31" s="714">
        <v>26.48</v>
      </c>
      <c r="AC31" s="704">
        <v>22.763999999999999</v>
      </c>
      <c r="AD31" s="704">
        <v>15.68</v>
      </c>
      <c r="AE31" s="704">
        <v>10.093</v>
      </c>
      <c r="AF31" s="715">
        <v>4.9080000000000004</v>
      </c>
      <c r="AG31" s="704"/>
      <c r="AH31" s="715"/>
      <c r="AI31" s="715"/>
      <c r="AJ31" s="716"/>
      <c r="AK31" s="704"/>
      <c r="AL31" s="717">
        <f t="shared" si="0"/>
        <v>4.2010000000000005</v>
      </c>
      <c r="AM31" s="718">
        <v>2.5099999999999998</v>
      </c>
      <c r="AN31" s="718">
        <v>1.74</v>
      </c>
      <c r="AO31" s="718">
        <f t="shared" si="1"/>
        <v>14.409430000000002</v>
      </c>
      <c r="AP31" s="718">
        <f t="shared" si="2"/>
        <v>18.65943</v>
      </c>
      <c r="AQ31" s="719">
        <v>4.0999999999999996</v>
      </c>
      <c r="AR31" s="719">
        <v>3.4999999999999996</v>
      </c>
      <c r="AS31" s="716">
        <v>28</v>
      </c>
      <c r="AT31" s="716">
        <v>0.6</v>
      </c>
      <c r="AU31" s="716">
        <v>28</v>
      </c>
      <c r="AV31" s="716">
        <f t="shared" si="3"/>
        <v>16.8</v>
      </c>
      <c r="AW31" s="716">
        <f t="shared" si="4"/>
        <v>97.999999999999986</v>
      </c>
      <c r="AX31" s="716">
        <f t="shared" si="17"/>
        <v>114.79999999999998</v>
      </c>
      <c r="AY31" s="716">
        <f t="shared" si="11"/>
        <v>0</v>
      </c>
      <c r="AZ31" s="716">
        <v>100</v>
      </c>
      <c r="BA31" s="716"/>
      <c r="BB31" s="720">
        <v>10000</v>
      </c>
      <c r="BC31" s="716">
        <v>52</v>
      </c>
      <c r="BD31" s="716">
        <v>10</v>
      </c>
      <c r="BE31" s="716">
        <v>80</v>
      </c>
      <c r="BF31" s="716"/>
      <c r="BG31" s="716"/>
      <c r="BH31" s="716"/>
      <c r="BI31" s="716"/>
      <c r="BJ31" s="716"/>
      <c r="BK31" s="716"/>
      <c r="BL31" s="716"/>
      <c r="BM31" s="721"/>
      <c r="BN31" s="722">
        <f t="shared" si="6"/>
        <v>375.45943</v>
      </c>
      <c r="BO31" s="723"/>
      <c r="BP31" s="723"/>
      <c r="BQ31" s="724"/>
      <c r="BR31" s="703">
        <f t="shared" si="7"/>
        <v>349.99999999999994</v>
      </c>
      <c r="BS31" s="703">
        <f t="shared" si="8"/>
        <v>183</v>
      </c>
    </row>
    <row r="32" spans="1:71" ht="23">
      <c r="A32" s="739" t="s">
        <v>40</v>
      </c>
      <c r="B32" s="740">
        <v>31</v>
      </c>
      <c r="C32" s="741"/>
      <c r="D32" s="707" t="s">
        <v>370</v>
      </c>
      <c r="E32" s="706" t="s">
        <v>371</v>
      </c>
      <c r="F32" s="708">
        <v>44075</v>
      </c>
      <c r="G32" s="742" t="s">
        <v>756</v>
      </c>
      <c r="H32" s="709">
        <v>70327</v>
      </c>
      <c r="I32" s="710" t="s">
        <v>323</v>
      </c>
      <c r="J32" s="711"/>
      <c r="K32" s="725" t="s">
        <v>372</v>
      </c>
      <c r="L32" s="706" t="s">
        <v>757</v>
      </c>
      <c r="M32" s="713">
        <v>29584</v>
      </c>
      <c r="N32" s="714" t="s">
        <v>373</v>
      </c>
      <c r="O32" s="714">
        <v>20.55</v>
      </c>
      <c r="P32" s="714">
        <v>17.890999999999998</v>
      </c>
      <c r="Q32" s="714">
        <v>6.1609999999999996</v>
      </c>
      <c r="R32" s="714">
        <v>0.25</v>
      </c>
      <c r="S32" s="714">
        <v>27.239000000000001</v>
      </c>
      <c r="T32" s="714">
        <v>21.516999999999999</v>
      </c>
      <c r="U32" s="714">
        <v>18.09</v>
      </c>
      <c r="V32" s="714">
        <v>17.215</v>
      </c>
      <c r="W32" s="714">
        <v>15.821</v>
      </c>
      <c r="X32" s="714">
        <v>9.2799999999999994</v>
      </c>
      <c r="Y32" s="714"/>
      <c r="Z32" s="714"/>
      <c r="AA32" s="714"/>
      <c r="AB32" s="714"/>
      <c r="AC32" s="704"/>
      <c r="AD32" s="704"/>
      <c r="AE32" s="704"/>
      <c r="AF32" s="715"/>
      <c r="AG32" s="704"/>
      <c r="AH32" s="715"/>
      <c r="AI32" s="715"/>
      <c r="AJ32" s="716"/>
      <c r="AK32" s="704"/>
      <c r="AL32" s="717">
        <f t="shared" si="0"/>
        <v>2.6590000000000025</v>
      </c>
      <c r="AM32" s="718">
        <v>2.5099999999999998</v>
      </c>
      <c r="AN32" s="718">
        <v>1.74</v>
      </c>
      <c r="AO32" s="718">
        <f t="shared" si="1"/>
        <v>9.1203700000000083</v>
      </c>
      <c r="AP32" s="718">
        <f t="shared" si="2"/>
        <v>13.370370000000008</v>
      </c>
      <c r="AQ32" s="719">
        <v>4.0999999999999996</v>
      </c>
      <c r="AR32" s="719">
        <v>3.4999999999999996</v>
      </c>
      <c r="AS32" s="716">
        <v>28</v>
      </c>
      <c r="AT32" s="716">
        <v>0.6</v>
      </c>
      <c r="AU32" s="716">
        <v>28</v>
      </c>
      <c r="AV32" s="716">
        <f t="shared" si="3"/>
        <v>16.8</v>
      </c>
      <c r="AW32" s="716">
        <f t="shared" si="4"/>
        <v>97.999999999999986</v>
      </c>
      <c r="AX32" s="716">
        <f t="shared" si="17"/>
        <v>114.79999999999998</v>
      </c>
      <c r="AY32" s="716">
        <f t="shared" si="11"/>
        <v>0</v>
      </c>
      <c r="AZ32" s="716">
        <v>100</v>
      </c>
      <c r="BA32" s="716">
        <v>32.5</v>
      </c>
      <c r="BB32" s="720">
        <v>10000</v>
      </c>
      <c r="BC32" s="716">
        <v>52</v>
      </c>
      <c r="BD32" s="716">
        <v>10</v>
      </c>
      <c r="BE32" s="716">
        <v>80</v>
      </c>
      <c r="BF32" s="716"/>
      <c r="BG32" s="716"/>
      <c r="BH32" s="716"/>
      <c r="BI32" s="716"/>
      <c r="BJ32" s="716"/>
      <c r="BK32" s="716"/>
      <c r="BL32" s="716"/>
      <c r="BM32" s="721">
        <v>60</v>
      </c>
      <c r="BN32" s="722">
        <f t="shared" si="6"/>
        <v>462.67036999999999</v>
      </c>
      <c r="BO32" s="723"/>
      <c r="BP32" s="723"/>
      <c r="BQ32" s="724"/>
      <c r="BR32" s="703">
        <f t="shared" si="7"/>
        <v>349.99999999999994</v>
      </c>
      <c r="BS32" s="703">
        <f t="shared" si="8"/>
        <v>184</v>
      </c>
    </row>
    <row r="33" spans="1:71">
      <c r="A33" s="704" t="s">
        <v>40</v>
      </c>
      <c r="B33" s="705">
        <v>32</v>
      </c>
      <c r="C33" s="706"/>
      <c r="D33" s="707" t="s">
        <v>71</v>
      </c>
      <c r="E33" s="706" t="s">
        <v>72</v>
      </c>
      <c r="F33" s="708">
        <v>38504</v>
      </c>
      <c r="G33" s="706" t="s">
        <v>374</v>
      </c>
      <c r="H33" s="709">
        <v>70619</v>
      </c>
      <c r="I33" s="710" t="s">
        <v>323</v>
      </c>
      <c r="J33" s="711" t="s">
        <v>375</v>
      </c>
      <c r="K33" s="725"/>
      <c r="L33" s="706" t="s">
        <v>376</v>
      </c>
      <c r="M33" s="713">
        <v>21452</v>
      </c>
      <c r="N33" s="714"/>
      <c r="O33" s="714">
        <v>6.8689999999999998</v>
      </c>
      <c r="P33" s="714">
        <v>6.7060000000000004</v>
      </c>
      <c r="Q33" s="714">
        <v>3.7210000000000001</v>
      </c>
      <c r="R33" s="714">
        <v>0.25</v>
      </c>
      <c r="S33" s="714">
        <v>11.801</v>
      </c>
      <c r="T33" s="714">
        <v>11.603999999999999</v>
      </c>
      <c r="U33" s="714">
        <v>8.65</v>
      </c>
      <c r="V33" s="714">
        <v>8.3559999999999999</v>
      </c>
      <c r="W33" s="714">
        <v>5.1689999999999996</v>
      </c>
      <c r="X33" s="714">
        <v>3.4</v>
      </c>
      <c r="Y33" s="714">
        <v>1.73</v>
      </c>
      <c r="Z33" s="714">
        <v>0.05</v>
      </c>
      <c r="AA33" s="714">
        <v>15.019</v>
      </c>
      <c r="AB33" s="714">
        <v>13.06</v>
      </c>
      <c r="AC33" s="704">
        <v>10.932</v>
      </c>
      <c r="AD33" s="704">
        <v>10.087999999999999</v>
      </c>
      <c r="AE33" s="704">
        <v>6.9809999999999999</v>
      </c>
      <c r="AF33" s="715">
        <v>5.1180000000000003</v>
      </c>
      <c r="AG33" s="704"/>
      <c r="AH33" s="715"/>
      <c r="AI33" s="715"/>
      <c r="AJ33" s="716"/>
      <c r="AK33" s="704"/>
      <c r="AL33" s="717">
        <f t="shared" si="0"/>
        <v>0.16299999999999937</v>
      </c>
      <c r="AM33" s="718">
        <v>2.5099999999999998</v>
      </c>
      <c r="AN33" s="718">
        <v>1.74</v>
      </c>
      <c r="AO33" s="718">
        <f t="shared" si="1"/>
        <v>0.55908999999999787</v>
      </c>
      <c r="AP33" s="718">
        <f t="shared" si="2"/>
        <v>4.8090899999999976</v>
      </c>
      <c r="AQ33" s="719">
        <v>4.2</v>
      </c>
      <c r="AR33" s="719">
        <v>3.6</v>
      </c>
      <c r="AS33" s="716">
        <v>28</v>
      </c>
      <c r="AT33" s="716">
        <v>0.6</v>
      </c>
      <c r="AU33" s="716">
        <v>28</v>
      </c>
      <c r="AV33" s="716">
        <f t="shared" si="3"/>
        <v>16.8</v>
      </c>
      <c r="AW33" s="716">
        <f t="shared" si="4"/>
        <v>100.8</v>
      </c>
      <c r="AX33" s="716">
        <f t="shared" si="17"/>
        <v>117.60000000000001</v>
      </c>
      <c r="AY33" s="716">
        <f t="shared" si="11"/>
        <v>0</v>
      </c>
      <c r="AZ33" s="716">
        <v>100</v>
      </c>
      <c r="BA33" s="716"/>
      <c r="BB33" s="720">
        <v>10000</v>
      </c>
      <c r="BC33" s="716">
        <v>52</v>
      </c>
      <c r="BD33" s="716">
        <v>10</v>
      </c>
      <c r="BE33" s="716">
        <v>80</v>
      </c>
      <c r="BF33" s="716"/>
      <c r="BG33" s="716"/>
      <c r="BH33" s="716"/>
      <c r="BI33" s="716"/>
      <c r="BJ33" s="716"/>
      <c r="BK33" s="716"/>
      <c r="BL33" s="716"/>
      <c r="BM33" s="721"/>
      <c r="BN33" s="722">
        <f t="shared" si="6"/>
        <v>364.40908999999999</v>
      </c>
      <c r="BO33" s="723"/>
      <c r="BP33" s="723"/>
      <c r="BQ33" s="724"/>
      <c r="BR33" s="703">
        <f t="shared" si="7"/>
        <v>360</v>
      </c>
      <c r="BS33" s="703">
        <f t="shared" si="8"/>
        <v>185</v>
      </c>
    </row>
    <row r="34" spans="1:71">
      <c r="A34" s="704" t="s">
        <v>40</v>
      </c>
      <c r="B34" s="705">
        <v>33</v>
      </c>
      <c r="C34" s="706"/>
      <c r="D34" s="707" t="s">
        <v>73</v>
      </c>
      <c r="E34" s="706" t="s">
        <v>74</v>
      </c>
      <c r="F34" s="708">
        <v>38718</v>
      </c>
      <c r="G34" s="706" t="s">
        <v>377</v>
      </c>
      <c r="H34" s="709">
        <v>70794</v>
      </c>
      <c r="I34" s="710" t="s">
        <v>378</v>
      </c>
      <c r="J34" s="711">
        <v>752673</v>
      </c>
      <c r="K34" s="725"/>
      <c r="L34" s="706"/>
      <c r="M34" s="713">
        <v>16807</v>
      </c>
      <c r="N34" s="714"/>
      <c r="O34" s="714">
        <v>25.587</v>
      </c>
      <c r="P34" s="714">
        <v>19.797000000000001</v>
      </c>
      <c r="Q34" s="714">
        <v>9.6129999999999995</v>
      </c>
      <c r="R34" s="714">
        <v>0.25</v>
      </c>
      <c r="S34" s="714">
        <v>85.933000000000007</v>
      </c>
      <c r="T34" s="714">
        <v>82.12</v>
      </c>
      <c r="U34" s="714">
        <v>63.018000000000001</v>
      </c>
      <c r="V34" s="714">
        <v>51.718000000000004</v>
      </c>
      <c r="W34" s="714">
        <v>37.113</v>
      </c>
      <c r="X34" s="714">
        <v>26.399000000000001</v>
      </c>
      <c r="Y34" s="714">
        <v>15.27</v>
      </c>
      <c r="Z34" s="714">
        <v>0.05</v>
      </c>
      <c r="AA34" s="714">
        <v>73.408000000000001</v>
      </c>
      <c r="AB34" s="714">
        <v>65.569999999999993</v>
      </c>
      <c r="AC34" s="704">
        <v>54.750999999999998</v>
      </c>
      <c r="AD34" s="704">
        <v>46.28</v>
      </c>
      <c r="AE34" s="704">
        <v>36.024000000000001</v>
      </c>
      <c r="AF34" s="715">
        <v>21.286000000000001</v>
      </c>
      <c r="AG34" s="704"/>
      <c r="AH34" s="715"/>
      <c r="AI34" s="715"/>
      <c r="AJ34" s="716"/>
      <c r="AK34" s="704"/>
      <c r="AL34" s="717">
        <f t="shared" si="0"/>
        <v>5.7899999999999991</v>
      </c>
      <c r="AM34" s="718">
        <v>2.5099999999999998</v>
      </c>
      <c r="AN34" s="718">
        <v>1.74</v>
      </c>
      <c r="AO34" s="718">
        <f t="shared" si="1"/>
        <v>19.859699999999997</v>
      </c>
      <c r="AP34" s="718">
        <f t="shared" si="2"/>
        <v>24.109699999999997</v>
      </c>
      <c r="AQ34" s="719">
        <v>4.5999999999999996</v>
      </c>
      <c r="AR34" s="719">
        <v>3.9999999999999996</v>
      </c>
      <c r="AS34" s="716">
        <v>28</v>
      </c>
      <c r="AT34" s="716">
        <v>0.6</v>
      </c>
      <c r="AU34" s="716">
        <v>28</v>
      </c>
      <c r="AV34" s="716">
        <f t="shared" si="3"/>
        <v>16.8</v>
      </c>
      <c r="AW34" s="716">
        <f t="shared" si="4"/>
        <v>111.99999999999999</v>
      </c>
      <c r="AX34" s="716">
        <f t="shared" si="17"/>
        <v>128.79999999999998</v>
      </c>
      <c r="AY34" s="716">
        <f t="shared" si="11"/>
        <v>0</v>
      </c>
      <c r="AZ34" s="716">
        <v>100</v>
      </c>
      <c r="BA34" s="716">
        <v>32.5</v>
      </c>
      <c r="BB34" s="720"/>
      <c r="BC34" s="716"/>
      <c r="BD34" s="716">
        <v>10</v>
      </c>
      <c r="BE34" s="716">
        <v>80</v>
      </c>
      <c r="BF34" s="716"/>
      <c r="BG34" s="716"/>
      <c r="BH34" s="716"/>
      <c r="BI34" s="716"/>
      <c r="BJ34" s="716"/>
      <c r="BK34" s="716"/>
      <c r="BL34" s="716"/>
      <c r="BM34" s="721"/>
      <c r="BN34" s="722">
        <f t="shared" si="6"/>
        <v>375.40969999999999</v>
      </c>
      <c r="BO34" s="723"/>
      <c r="BP34" s="723"/>
      <c r="BQ34" s="724"/>
      <c r="BR34" s="703">
        <f t="shared" si="7"/>
        <v>399.99999999999994</v>
      </c>
      <c r="BS34" s="703">
        <f t="shared" si="8"/>
        <v>186</v>
      </c>
    </row>
    <row r="35" spans="1:71">
      <c r="A35" s="704" t="s">
        <v>40</v>
      </c>
      <c r="B35" s="705">
        <v>34</v>
      </c>
      <c r="C35" s="706"/>
      <c r="D35" s="707" t="s">
        <v>75</v>
      </c>
      <c r="E35" s="706" t="s">
        <v>76</v>
      </c>
      <c r="F35" s="708">
        <v>39052</v>
      </c>
      <c r="G35" s="706" t="s">
        <v>379</v>
      </c>
      <c r="H35" s="709">
        <v>70184</v>
      </c>
      <c r="I35" s="710" t="s">
        <v>323</v>
      </c>
      <c r="J35" s="711">
        <v>2368597</v>
      </c>
      <c r="K35" s="725" t="s">
        <v>380</v>
      </c>
      <c r="L35" s="706" t="s">
        <v>758</v>
      </c>
      <c r="M35" s="713">
        <v>22634</v>
      </c>
      <c r="N35" s="714"/>
      <c r="O35" s="714">
        <v>14.183</v>
      </c>
      <c r="P35" s="714">
        <v>10.718999999999999</v>
      </c>
      <c r="Q35" s="714">
        <v>4.9710000000000001</v>
      </c>
      <c r="R35" s="714">
        <v>0.25</v>
      </c>
      <c r="S35" s="714">
        <v>42.457999999999998</v>
      </c>
      <c r="T35" s="714">
        <v>40.387999999999998</v>
      </c>
      <c r="U35" s="714">
        <v>33.61</v>
      </c>
      <c r="V35" s="714">
        <v>29.423999999999999</v>
      </c>
      <c r="W35" s="714">
        <v>23.97</v>
      </c>
      <c r="X35" s="714">
        <v>19.472999999999999</v>
      </c>
      <c r="Y35" s="714">
        <v>16.41</v>
      </c>
      <c r="Z35" s="714">
        <v>0.05</v>
      </c>
      <c r="AA35" s="714">
        <v>33.561999999999998</v>
      </c>
      <c r="AB35" s="714">
        <v>28.42</v>
      </c>
      <c r="AC35" s="704">
        <v>21.117999999999999</v>
      </c>
      <c r="AD35" s="704">
        <v>17.640999999999998</v>
      </c>
      <c r="AE35" s="704">
        <v>12.81</v>
      </c>
      <c r="AF35" s="715">
        <v>7.6660000000000004</v>
      </c>
      <c r="AG35" s="704"/>
      <c r="AH35" s="715"/>
      <c r="AI35" s="715"/>
      <c r="AJ35" s="716"/>
      <c r="AK35" s="704"/>
      <c r="AL35" s="717">
        <f t="shared" si="0"/>
        <v>3.4640000000000004</v>
      </c>
      <c r="AM35" s="718">
        <v>2.5099999999999998</v>
      </c>
      <c r="AN35" s="718">
        <v>1.74</v>
      </c>
      <c r="AO35" s="718">
        <f t="shared" si="1"/>
        <v>11.881520000000002</v>
      </c>
      <c r="AP35" s="718">
        <f t="shared" si="2"/>
        <v>16.131520000000002</v>
      </c>
      <c r="AQ35" s="719">
        <v>4.0999999999999996</v>
      </c>
      <c r="AR35" s="719">
        <v>3.4999999999999996</v>
      </c>
      <c r="AS35" s="716">
        <v>28</v>
      </c>
      <c r="AT35" s="716">
        <v>0.6</v>
      </c>
      <c r="AU35" s="716">
        <v>28</v>
      </c>
      <c r="AV35" s="716">
        <f t="shared" si="3"/>
        <v>16.8</v>
      </c>
      <c r="AW35" s="716">
        <f t="shared" si="4"/>
        <v>97.999999999999986</v>
      </c>
      <c r="AX35" s="716">
        <f t="shared" si="17"/>
        <v>114.79999999999998</v>
      </c>
      <c r="AY35" s="716">
        <f t="shared" si="11"/>
        <v>0</v>
      </c>
      <c r="AZ35" s="716">
        <v>100</v>
      </c>
      <c r="BA35" s="716"/>
      <c r="BB35" s="720"/>
      <c r="BC35" s="716"/>
      <c r="BD35" s="716">
        <v>10</v>
      </c>
      <c r="BE35" s="716">
        <v>80</v>
      </c>
      <c r="BF35" s="716"/>
      <c r="BG35" s="716"/>
      <c r="BH35" s="716"/>
      <c r="BI35" s="716"/>
      <c r="BJ35" s="716"/>
      <c r="BK35" s="716"/>
      <c r="BL35" s="716"/>
      <c r="BM35" s="721"/>
      <c r="BN35" s="722">
        <f t="shared" si="6"/>
        <v>320.93151999999998</v>
      </c>
      <c r="BO35" s="723"/>
      <c r="BP35" s="723"/>
      <c r="BQ35" s="724"/>
      <c r="BR35" s="703">
        <f t="shared" si="7"/>
        <v>349.99999999999994</v>
      </c>
      <c r="BS35" s="703">
        <f t="shared" si="8"/>
        <v>187</v>
      </c>
    </row>
    <row r="36" spans="1:71">
      <c r="A36" s="704" t="s">
        <v>40</v>
      </c>
      <c r="B36" s="705">
        <v>35</v>
      </c>
      <c r="C36" s="704"/>
      <c r="D36" s="707" t="s">
        <v>988</v>
      </c>
      <c r="E36" s="706" t="s">
        <v>989</v>
      </c>
      <c r="F36" s="708">
        <v>45689</v>
      </c>
      <c r="G36" s="706" t="s">
        <v>990</v>
      </c>
      <c r="H36" s="709">
        <v>70619</v>
      </c>
      <c r="I36" s="710" t="s">
        <v>323</v>
      </c>
      <c r="J36" s="733"/>
      <c r="K36" s="743" t="s">
        <v>991</v>
      </c>
      <c r="L36" s="729" t="s">
        <v>992</v>
      </c>
      <c r="M36" s="713">
        <v>34325</v>
      </c>
      <c r="N36" s="714" t="s">
        <v>993</v>
      </c>
      <c r="O36" s="714">
        <v>16.859000000000002</v>
      </c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714"/>
      <c r="AB36" s="714"/>
      <c r="AC36" s="704"/>
      <c r="AD36" s="704"/>
      <c r="AE36" s="704"/>
      <c r="AF36" s="715"/>
      <c r="AG36" s="704"/>
      <c r="AH36" s="715"/>
      <c r="AI36" s="715"/>
      <c r="AJ36" s="716"/>
      <c r="AK36" s="704"/>
      <c r="AL36" s="714"/>
      <c r="AM36" s="718"/>
      <c r="AN36" s="718"/>
      <c r="AO36" s="718"/>
      <c r="AP36" s="718"/>
      <c r="AQ36" s="719">
        <v>3.6</v>
      </c>
      <c r="AR36" s="719">
        <v>3</v>
      </c>
      <c r="AS36" s="716">
        <v>28</v>
      </c>
      <c r="AT36" s="716">
        <v>0.6</v>
      </c>
      <c r="AU36" s="716">
        <v>28</v>
      </c>
      <c r="AV36" s="716">
        <f>(AT36*AU36)+(AT36*AU36/12*10)</f>
        <v>30.800000000000004</v>
      </c>
      <c r="AW36" s="716">
        <f>(AR36*AS36)+(AR36*AS36/12*10)</f>
        <v>154</v>
      </c>
      <c r="AX36" s="716">
        <f>AQ36*AS36</f>
        <v>100.8</v>
      </c>
      <c r="AY36" s="716">
        <f>AX36-(AV36+AW36)</f>
        <v>-84.000000000000014</v>
      </c>
      <c r="AZ36" s="716">
        <v>100</v>
      </c>
      <c r="BA36" s="716"/>
      <c r="BB36" s="720"/>
      <c r="BC36" s="716"/>
      <c r="BD36" s="716">
        <v>10</v>
      </c>
      <c r="BE36" s="716">
        <v>80</v>
      </c>
      <c r="BF36" s="716"/>
      <c r="BG36" s="716"/>
      <c r="BH36" s="716">
        <v>150</v>
      </c>
      <c r="BI36" s="716">
        <v>60</v>
      </c>
      <c r="BJ36" s="716"/>
      <c r="BK36" s="716"/>
      <c r="BL36" s="716"/>
      <c r="BM36" s="721"/>
      <c r="BN36" s="722">
        <f t="shared" si="6"/>
        <v>584.79999999999995</v>
      </c>
      <c r="BO36" s="723"/>
      <c r="BP36" s="723"/>
      <c r="BQ36" s="724"/>
      <c r="BR36" s="703">
        <f t="shared" si="7"/>
        <v>300</v>
      </c>
      <c r="BS36" s="703">
        <f t="shared" si="8"/>
        <v>188</v>
      </c>
    </row>
    <row r="37" spans="1:71">
      <c r="A37" s="704" t="s">
        <v>40</v>
      </c>
      <c r="B37" s="705">
        <v>36</v>
      </c>
      <c r="C37" s="706"/>
      <c r="D37" s="707" t="s">
        <v>210</v>
      </c>
      <c r="E37" s="706" t="s">
        <v>211</v>
      </c>
      <c r="F37" s="708">
        <v>41791</v>
      </c>
      <c r="G37" s="706" t="s">
        <v>690</v>
      </c>
      <c r="H37" s="709">
        <v>70619</v>
      </c>
      <c r="I37" s="710" t="s">
        <v>323</v>
      </c>
      <c r="J37" s="711">
        <v>2538219</v>
      </c>
      <c r="K37" s="725"/>
      <c r="L37" s="706" t="s">
        <v>381</v>
      </c>
      <c r="M37" s="713">
        <v>25842</v>
      </c>
      <c r="N37" s="714"/>
      <c r="O37" s="714">
        <v>23.353000000000002</v>
      </c>
      <c r="P37" s="714">
        <v>19.55</v>
      </c>
      <c r="Q37" s="714">
        <v>9.41</v>
      </c>
      <c r="R37" s="714">
        <v>0.25</v>
      </c>
      <c r="S37" s="714">
        <v>80.356999999999999</v>
      </c>
      <c r="T37" s="714">
        <v>72.658000000000001</v>
      </c>
      <c r="U37" s="714">
        <v>53.38</v>
      </c>
      <c r="V37" s="714">
        <v>47.634</v>
      </c>
      <c r="W37" s="714">
        <v>44.570999999999998</v>
      </c>
      <c r="X37" s="714">
        <v>39.738999999999997</v>
      </c>
      <c r="Y37" s="714">
        <v>6.32</v>
      </c>
      <c r="Z37" s="714">
        <v>0.05</v>
      </c>
      <c r="AA37" s="714">
        <v>4.3239999999999998</v>
      </c>
      <c r="AB37" s="714">
        <v>3.75</v>
      </c>
      <c r="AC37" s="704">
        <v>3.7389999999999999</v>
      </c>
      <c r="AD37" s="704">
        <v>3.7389999999999999</v>
      </c>
      <c r="AE37" s="704">
        <v>3.2959999999999998</v>
      </c>
      <c r="AF37" s="715">
        <v>1.073</v>
      </c>
      <c r="AG37" s="704"/>
      <c r="AH37" s="715"/>
      <c r="AI37" s="715"/>
      <c r="AJ37" s="716"/>
      <c r="AK37" s="704"/>
      <c r="AL37" s="717">
        <f t="shared" si="0"/>
        <v>3.8030000000000008</v>
      </c>
      <c r="AM37" s="718">
        <v>2.5099999999999998</v>
      </c>
      <c r="AN37" s="718">
        <v>1.74</v>
      </c>
      <c r="AO37" s="718">
        <f t="shared" si="1"/>
        <v>13.044290000000004</v>
      </c>
      <c r="AP37" s="718">
        <f t="shared" si="2"/>
        <v>17.294290000000004</v>
      </c>
      <c r="AQ37" s="719">
        <v>4.0999999999999996</v>
      </c>
      <c r="AR37" s="719">
        <v>3.4999999999999996</v>
      </c>
      <c r="AS37" s="716">
        <v>28</v>
      </c>
      <c r="AT37" s="716">
        <v>0.6</v>
      </c>
      <c r="AU37" s="716">
        <v>28</v>
      </c>
      <c r="AV37" s="716">
        <f t="shared" si="3"/>
        <v>16.8</v>
      </c>
      <c r="AW37" s="716">
        <f t="shared" si="4"/>
        <v>97.999999999999986</v>
      </c>
      <c r="AX37" s="716">
        <f t="shared" ref="AX37" si="20">AQ37*AS37</f>
        <v>114.79999999999998</v>
      </c>
      <c r="AY37" s="716">
        <f t="shared" si="11"/>
        <v>0</v>
      </c>
      <c r="AZ37" s="716">
        <v>100</v>
      </c>
      <c r="BA37" s="716"/>
      <c r="BB37" s="720">
        <v>9000</v>
      </c>
      <c r="BC37" s="716">
        <v>42</v>
      </c>
      <c r="BD37" s="716">
        <v>10</v>
      </c>
      <c r="BE37" s="716">
        <v>80</v>
      </c>
      <c r="BF37" s="716"/>
      <c r="BG37" s="716"/>
      <c r="BH37" s="716"/>
      <c r="BI37" s="716"/>
      <c r="BJ37" s="716"/>
      <c r="BK37" s="716"/>
      <c r="BL37" s="716"/>
      <c r="BM37" s="721"/>
      <c r="BN37" s="722">
        <f t="shared" si="6"/>
        <v>364.09429</v>
      </c>
      <c r="BO37" s="723"/>
      <c r="BP37" s="723"/>
      <c r="BQ37" s="724"/>
      <c r="BR37" s="703">
        <f t="shared" si="7"/>
        <v>349.99999999999994</v>
      </c>
      <c r="BS37" s="703">
        <f t="shared" si="8"/>
        <v>189</v>
      </c>
    </row>
    <row r="38" spans="1:71">
      <c r="A38" s="704" t="s">
        <v>40</v>
      </c>
      <c r="B38" s="705">
        <v>37</v>
      </c>
      <c r="C38" s="706"/>
      <c r="D38" s="707"/>
      <c r="E38" s="706"/>
      <c r="F38" s="708"/>
      <c r="G38" s="706"/>
      <c r="H38" s="709"/>
      <c r="I38" s="710"/>
      <c r="J38" s="711"/>
      <c r="K38" s="725"/>
      <c r="L38" s="706"/>
      <c r="M38" s="713"/>
      <c r="N38" s="714" t="s">
        <v>994</v>
      </c>
      <c r="O38" s="714">
        <v>0.23300000000000001</v>
      </c>
      <c r="P38" s="714">
        <v>0.22500000000000001</v>
      </c>
      <c r="Q38" s="714">
        <v>0.22500000000000001</v>
      </c>
      <c r="R38" s="714">
        <v>0.22500000000000001</v>
      </c>
      <c r="S38" s="714">
        <v>7.5049999999999999</v>
      </c>
      <c r="T38" s="714">
        <v>7.5</v>
      </c>
      <c r="U38" s="714">
        <v>7.4640000000000004</v>
      </c>
      <c r="V38" s="714">
        <v>7.4989999999999997</v>
      </c>
      <c r="W38" s="714">
        <v>7.45</v>
      </c>
      <c r="X38" s="714">
        <v>7.4420000000000002</v>
      </c>
      <c r="Y38" s="714">
        <v>5.87</v>
      </c>
      <c r="Z38" s="714">
        <v>0.05</v>
      </c>
      <c r="AA38" s="714">
        <v>11.504</v>
      </c>
      <c r="AB38" s="714">
        <v>9.7159999999999993</v>
      </c>
      <c r="AC38" s="704">
        <v>8.8320000000000007</v>
      </c>
      <c r="AD38" s="704">
        <v>7.8079999999999998</v>
      </c>
      <c r="AE38" s="704">
        <v>6.25</v>
      </c>
      <c r="AF38" s="715">
        <v>1.708</v>
      </c>
      <c r="AG38" s="704"/>
      <c r="AH38" s="715"/>
      <c r="AI38" s="715"/>
      <c r="AJ38" s="716"/>
      <c r="AK38" s="704"/>
      <c r="AL38" s="717">
        <f t="shared" si="0"/>
        <v>8.0000000000000071E-3</v>
      </c>
      <c r="AM38" s="718">
        <v>2.5099999999999998</v>
      </c>
      <c r="AN38" s="718">
        <v>1.74</v>
      </c>
      <c r="AO38" s="718">
        <f t="shared" si="1"/>
        <v>2.7440000000000027E-2</v>
      </c>
      <c r="AP38" s="718">
        <f t="shared" si="2"/>
        <v>4.2774400000000004</v>
      </c>
      <c r="AQ38" s="719"/>
      <c r="AR38" s="719">
        <v>3.5</v>
      </c>
      <c r="AS38" s="716"/>
      <c r="AT38" s="716"/>
      <c r="AU38" s="716"/>
      <c r="AV38" s="716"/>
      <c r="AW38" s="716"/>
      <c r="AX38" s="716"/>
      <c r="AY38" s="716"/>
      <c r="AZ38" s="716"/>
      <c r="BA38" s="716"/>
      <c r="BB38" s="720"/>
      <c r="BC38" s="716"/>
      <c r="BD38" s="716"/>
      <c r="BE38" s="716"/>
      <c r="BF38" s="716"/>
      <c r="BG38" s="716"/>
      <c r="BH38" s="716"/>
      <c r="BI38" s="716"/>
      <c r="BJ38" s="744"/>
      <c r="BK38" s="744"/>
      <c r="BL38" s="744"/>
      <c r="BM38" s="721"/>
      <c r="BN38" s="722"/>
      <c r="BO38" s="723"/>
      <c r="BP38" s="723"/>
      <c r="BQ38" s="724"/>
      <c r="BR38" s="703">
        <f t="shared" si="7"/>
        <v>350</v>
      </c>
      <c r="BS38" s="703">
        <f t="shared" si="8"/>
        <v>190</v>
      </c>
    </row>
    <row r="39" spans="1:71">
      <c r="A39" s="704" t="s">
        <v>40</v>
      </c>
      <c r="B39" s="705">
        <v>38</v>
      </c>
      <c r="C39" s="706"/>
      <c r="D39" s="707" t="s">
        <v>760</v>
      </c>
      <c r="E39" s="706" t="s">
        <v>426</v>
      </c>
      <c r="F39" s="708">
        <v>44896</v>
      </c>
      <c r="G39" s="706" t="s">
        <v>761</v>
      </c>
      <c r="H39" s="709">
        <v>70619</v>
      </c>
      <c r="I39" s="710" t="s">
        <v>323</v>
      </c>
      <c r="J39" s="730"/>
      <c r="K39" s="725" t="s">
        <v>762</v>
      </c>
      <c r="L39" s="706" t="s">
        <v>763</v>
      </c>
      <c r="M39" s="713">
        <v>30844</v>
      </c>
      <c r="N39" s="714" t="s">
        <v>691</v>
      </c>
      <c r="O39" s="714">
        <v>5.9480000000000004</v>
      </c>
      <c r="P39" s="714">
        <v>4.899</v>
      </c>
      <c r="Q39" s="714">
        <v>0.14299999999999999</v>
      </c>
      <c r="R39" s="714">
        <v>0.14299999999999999</v>
      </c>
      <c r="S39" s="714">
        <v>17.204999999999998</v>
      </c>
      <c r="T39" s="714">
        <v>17.173999999999999</v>
      </c>
      <c r="U39" s="714">
        <v>15.818</v>
      </c>
      <c r="V39" s="714">
        <v>12.837999999999999</v>
      </c>
      <c r="W39" s="714">
        <v>8.548</v>
      </c>
      <c r="X39" s="714">
        <v>6.9779999999999998</v>
      </c>
      <c r="Y39" s="714">
        <v>5.0999999999999996</v>
      </c>
      <c r="Z39" s="714">
        <v>0.05</v>
      </c>
      <c r="AA39" s="714">
        <v>7.81</v>
      </c>
      <c r="AB39" s="714">
        <v>6.89</v>
      </c>
      <c r="AC39" s="704">
        <v>4.7279999999999998</v>
      </c>
      <c r="AD39" s="704">
        <v>4.7279999999999998</v>
      </c>
      <c r="AE39" s="704">
        <v>3.645</v>
      </c>
      <c r="AF39" s="715">
        <v>1.631</v>
      </c>
      <c r="AG39" s="704"/>
      <c r="AH39" s="715"/>
      <c r="AI39" s="715"/>
      <c r="AJ39" s="716"/>
      <c r="AK39" s="704"/>
      <c r="AL39" s="717">
        <f t="shared" si="0"/>
        <v>1.0490000000000004</v>
      </c>
      <c r="AM39" s="718">
        <v>2.5099999999999998</v>
      </c>
      <c r="AN39" s="718">
        <v>1.74</v>
      </c>
      <c r="AO39" s="718">
        <f t="shared" si="1"/>
        <v>3.5980700000000017</v>
      </c>
      <c r="AP39" s="718">
        <f t="shared" si="2"/>
        <v>7.8480700000000017</v>
      </c>
      <c r="AQ39" s="719">
        <v>4.0999999999999996</v>
      </c>
      <c r="AR39" s="719">
        <v>3.4999999999999996</v>
      </c>
      <c r="AS39" s="716">
        <v>28</v>
      </c>
      <c r="AT39" s="716">
        <v>0.6</v>
      </c>
      <c r="AU39" s="716">
        <v>28</v>
      </c>
      <c r="AV39" s="716">
        <f t="shared" si="3"/>
        <v>16.8</v>
      </c>
      <c r="AW39" s="716">
        <f t="shared" si="4"/>
        <v>97.999999999999986</v>
      </c>
      <c r="AX39" s="716">
        <f t="shared" ref="AX39" si="21">AQ39*AS39</f>
        <v>114.79999999999998</v>
      </c>
      <c r="AY39" s="716">
        <f t="shared" si="11"/>
        <v>0</v>
      </c>
      <c r="AZ39" s="716">
        <v>100</v>
      </c>
      <c r="BA39" s="716">
        <v>32.5</v>
      </c>
      <c r="BB39" s="720">
        <v>10000</v>
      </c>
      <c r="BC39" s="716">
        <v>52</v>
      </c>
      <c r="BD39" s="716">
        <v>10</v>
      </c>
      <c r="BE39" s="716">
        <v>80</v>
      </c>
      <c r="BF39" s="716"/>
      <c r="BG39" s="716"/>
      <c r="BH39" s="716"/>
      <c r="BI39" s="716"/>
      <c r="BJ39" s="716"/>
      <c r="BK39" s="716"/>
      <c r="BL39" s="716"/>
      <c r="BM39" s="721"/>
      <c r="BN39" s="722">
        <f t="shared" si="6"/>
        <v>397.14806999999996</v>
      </c>
      <c r="BO39" s="723"/>
      <c r="BP39" s="723"/>
      <c r="BQ39" s="724"/>
      <c r="BR39" s="703">
        <f t="shared" si="7"/>
        <v>349.99999999999994</v>
      </c>
      <c r="BS39" s="703">
        <f t="shared" si="8"/>
        <v>191</v>
      </c>
    </row>
    <row r="40" spans="1:71">
      <c r="A40" s="704" t="s">
        <v>40</v>
      </c>
      <c r="B40" s="705">
        <v>39</v>
      </c>
      <c r="C40" s="706"/>
      <c r="D40" s="707" t="s">
        <v>714</v>
      </c>
      <c r="E40" s="706" t="s">
        <v>715</v>
      </c>
      <c r="F40" s="708">
        <v>44531</v>
      </c>
      <c r="G40" s="706" t="s">
        <v>716</v>
      </c>
      <c r="H40" s="709">
        <v>70188</v>
      </c>
      <c r="I40" s="710" t="s">
        <v>323</v>
      </c>
      <c r="J40" s="711"/>
      <c r="K40" s="743" t="s">
        <v>717</v>
      </c>
      <c r="L40" s="706" t="s">
        <v>718</v>
      </c>
      <c r="M40" s="713">
        <v>30821</v>
      </c>
      <c r="N40" s="714" t="s">
        <v>719</v>
      </c>
      <c r="O40" s="714">
        <v>10.677</v>
      </c>
      <c r="P40" s="714">
        <v>8.3670000000000009</v>
      </c>
      <c r="Q40" s="714">
        <v>3.6520000000000001</v>
      </c>
      <c r="R40" s="714">
        <v>0.25</v>
      </c>
      <c r="S40" s="714">
        <v>22.466999999999999</v>
      </c>
      <c r="T40" s="714">
        <v>21.88</v>
      </c>
      <c r="U40" s="714">
        <v>18.332999999999998</v>
      </c>
      <c r="V40" s="714">
        <v>14.74</v>
      </c>
      <c r="W40" s="714">
        <v>7.2359999999999998</v>
      </c>
      <c r="X40" s="714">
        <v>4.3490000000000002</v>
      </c>
      <c r="Y40" s="714">
        <v>0.18</v>
      </c>
      <c r="Z40" s="714">
        <v>0.05</v>
      </c>
      <c r="AA40" s="714">
        <v>62.213000000000001</v>
      </c>
      <c r="AB40" s="714">
        <v>61.765000000000001</v>
      </c>
      <c r="AC40" s="704">
        <v>56.076999999999998</v>
      </c>
      <c r="AD40" s="704">
        <v>49.548999999999999</v>
      </c>
      <c r="AE40" s="704">
        <v>47.335999999999999</v>
      </c>
      <c r="AF40" s="715">
        <v>17.526</v>
      </c>
      <c r="AG40" s="704"/>
      <c r="AH40" s="715"/>
      <c r="AI40" s="715"/>
      <c r="AJ40" s="716"/>
      <c r="AK40" s="704"/>
      <c r="AL40" s="717">
        <f t="shared" si="0"/>
        <v>2.3099999999999987</v>
      </c>
      <c r="AM40" s="718">
        <v>2.5099999999999998</v>
      </c>
      <c r="AN40" s="718">
        <v>1.74</v>
      </c>
      <c r="AO40" s="718">
        <f t="shared" si="1"/>
        <v>7.9232999999999958</v>
      </c>
      <c r="AP40" s="718">
        <f t="shared" si="2"/>
        <v>12.173299999999996</v>
      </c>
      <c r="AQ40" s="719">
        <v>4.0999999999999996</v>
      </c>
      <c r="AR40" s="719">
        <v>3.4999999999999996</v>
      </c>
      <c r="AS40" s="716">
        <v>28</v>
      </c>
      <c r="AT40" s="716">
        <v>0.6</v>
      </c>
      <c r="AU40" s="716">
        <v>28</v>
      </c>
      <c r="AV40" s="716">
        <f t="shared" si="3"/>
        <v>16.8</v>
      </c>
      <c r="AW40" s="716">
        <f t="shared" si="4"/>
        <v>97.999999999999986</v>
      </c>
      <c r="AX40" s="716">
        <f t="shared" ref="AX40" si="22">AQ40*AS40</f>
        <v>114.79999999999998</v>
      </c>
      <c r="AY40" s="716">
        <f t="shared" si="11"/>
        <v>0</v>
      </c>
      <c r="AZ40" s="716">
        <v>100</v>
      </c>
      <c r="BA40" s="716"/>
      <c r="BB40" s="720">
        <v>10000</v>
      </c>
      <c r="BC40" s="716">
        <f>52</f>
        <v>52</v>
      </c>
      <c r="BD40" s="716">
        <v>10</v>
      </c>
      <c r="BE40" s="716">
        <v>80</v>
      </c>
      <c r="BF40" s="716"/>
      <c r="BG40" s="716"/>
      <c r="BH40" s="716"/>
      <c r="BI40" s="716"/>
      <c r="BJ40" s="744"/>
      <c r="BK40" s="744"/>
      <c r="BL40" s="744"/>
      <c r="BM40" s="745"/>
      <c r="BN40" s="722">
        <f t="shared" si="6"/>
        <v>368.97329999999999</v>
      </c>
      <c r="BO40" s="723"/>
      <c r="BP40" s="723"/>
      <c r="BQ40" s="746" t="s">
        <v>1051</v>
      </c>
      <c r="BR40" s="703">
        <f t="shared" si="7"/>
        <v>349.99999999999994</v>
      </c>
      <c r="BS40" s="703">
        <f t="shared" si="8"/>
        <v>192</v>
      </c>
    </row>
    <row r="41" spans="1:71">
      <c r="A41" s="704" t="s">
        <v>40</v>
      </c>
      <c r="B41" s="705">
        <v>40</v>
      </c>
      <c r="C41" s="706" t="s">
        <v>78</v>
      </c>
      <c r="D41" s="707" t="s">
        <v>872</v>
      </c>
      <c r="E41" s="706" t="s">
        <v>873</v>
      </c>
      <c r="F41" s="708">
        <v>45078</v>
      </c>
      <c r="G41" s="706" t="s">
        <v>874</v>
      </c>
      <c r="H41" s="709" t="s">
        <v>720</v>
      </c>
      <c r="I41" s="710"/>
      <c r="J41" s="711">
        <v>446048</v>
      </c>
      <c r="K41" s="743"/>
      <c r="L41" s="706" t="s">
        <v>875</v>
      </c>
      <c r="M41" s="713">
        <v>18440</v>
      </c>
      <c r="N41" s="714" t="s">
        <v>721</v>
      </c>
      <c r="O41" s="714">
        <v>25.68</v>
      </c>
      <c r="P41" s="714">
        <v>16.995999999999999</v>
      </c>
      <c r="Q41" s="714">
        <v>6.665</v>
      </c>
      <c r="R41" s="714">
        <v>0.25</v>
      </c>
      <c r="S41" s="714">
        <v>26.986000000000001</v>
      </c>
      <c r="T41" s="714">
        <v>25.988</v>
      </c>
      <c r="U41" s="714">
        <v>19.137</v>
      </c>
      <c r="V41" s="714">
        <v>14.789</v>
      </c>
      <c r="W41" s="714">
        <v>11.145</v>
      </c>
      <c r="X41" s="714">
        <v>8.3829999999999991</v>
      </c>
      <c r="Y41" s="714">
        <v>6.41</v>
      </c>
      <c r="Z41" s="714">
        <v>0.05</v>
      </c>
      <c r="AA41" s="714">
        <v>39.268999999999998</v>
      </c>
      <c r="AB41" s="714">
        <v>35.658999999999999</v>
      </c>
      <c r="AC41" s="704">
        <v>31.747</v>
      </c>
      <c r="AD41" s="704">
        <v>25.547000000000001</v>
      </c>
      <c r="AE41" s="704">
        <v>11.41</v>
      </c>
      <c r="AF41" s="715">
        <v>6.952</v>
      </c>
      <c r="AG41" s="704"/>
      <c r="AH41" s="715"/>
      <c r="AI41" s="715"/>
      <c r="AJ41" s="716"/>
      <c r="AK41" s="704"/>
      <c r="AL41" s="717">
        <f t="shared" si="0"/>
        <v>8.6840000000000011</v>
      </c>
      <c r="AM41" s="718">
        <v>2.5099999999999998</v>
      </c>
      <c r="AN41" s="718">
        <v>1.74</v>
      </c>
      <c r="AO41" s="718">
        <f t="shared" si="1"/>
        <v>29.786120000000004</v>
      </c>
      <c r="AP41" s="718">
        <f t="shared" si="2"/>
        <v>34.036120000000004</v>
      </c>
      <c r="AQ41" s="719">
        <v>3.1</v>
      </c>
      <c r="AR41" s="719">
        <v>2.5</v>
      </c>
      <c r="AS41" s="716">
        <v>28</v>
      </c>
      <c r="AT41" s="716">
        <v>0.6</v>
      </c>
      <c r="AU41" s="716">
        <v>28</v>
      </c>
      <c r="AV41" s="716">
        <f t="shared" si="3"/>
        <v>16.8</v>
      </c>
      <c r="AW41" s="716">
        <f t="shared" si="4"/>
        <v>70</v>
      </c>
      <c r="AX41" s="716">
        <f>AQ41*AS41</f>
        <v>86.8</v>
      </c>
      <c r="AY41" s="716">
        <f t="shared" si="11"/>
        <v>0</v>
      </c>
      <c r="AZ41" s="716">
        <v>100</v>
      </c>
      <c r="BA41" s="716">
        <v>32.5</v>
      </c>
      <c r="BB41" s="720">
        <v>10000</v>
      </c>
      <c r="BC41" s="716">
        <v>52</v>
      </c>
      <c r="BD41" s="716">
        <v>10</v>
      </c>
      <c r="BE41" s="716">
        <v>80</v>
      </c>
      <c r="BF41" s="716"/>
      <c r="BG41" s="716"/>
      <c r="BH41" s="716"/>
      <c r="BI41" s="716"/>
      <c r="BJ41" s="716"/>
      <c r="BK41" s="716"/>
      <c r="BL41" s="716"/>
      <c r="BM41" s="721"/>
      <c r="BN41" s="722">
        <f t="shared" si="6"/>
        <v>395.33611999999999</v>
      </c>
      <c r="BO41" s="723"/>
      <c r="BP41" s="723"/>
      <c r="BQ41" s="724"/>
      <c r="BR41" s="703">
        <f t="shared" si="7"/>
        <v>250</v>
      </c>
      <c r="BS41" s="703">
        <f t="shared" si="8"/>
        <v>193</v>
      </c>
    </row>
    <row r="42" spans="1:71">
      <c r="A42" s="704" t="s">
        <v>40</v>
      </c>
      <c r="B42" s="705">
        <v>40</v>
      </c>
      <c r="C42" s="706"/>
      <c r="D42" s="707" t="s">
        <v>212</v>
      </c>
      <c r="E42" s="706" t="s">
        <v>184</v>
      </c>
      <c r="F42" s="708">
        <v>41640</v>
      </c>
      <c r="G42" s="706" t="s">
        <v>382</v>
      </c>
      <c r="H42" s="709">
        <v>70184</v>
      </c>
      <c r="I42" s="710" t="s">
        <v>323</v>
      </c>
      <c r="J42" s="711">
        <v>76493401</v>
      </c>
      <c r="K42" s="725" t="s">
        <v>383</v>
      </c>
      <c r="L42" s="706" t="s">
        <v>876</v>
      </c>
      <c r="M42" s="713">
        <v>26185</v>
      </c>
      <c r="N42" s="714"/>
      <c r="O42" s="714">
        <v>10.972</v>
      </c>
      <c r="P42" s="714">
        <v>9.5280000000000005</v>
      </c>
      <c r="Q42" s="714">
        <v>3.8820000000000001</v>
      </c>
      <c r="R42" s="714">
        <v>0.25</v>
      </c>
      <c r="S42" s="714">
        <v>37.027000000000001</v>
      </c>
      <c r="T42" s="714">
        <v>35.383000000000003</v>
      </c>
      <c r="U42" s="714">
        <v>24.870999999999999</v>
      </c>
      <c r="V42" s="714">
        <v>16.879000000000001</v>
      </c>
      <c r="W42" s="714">
        <v>7.9560000000000004</v>
      </c>
      <c r="X42" s="714">
        <v>6.3559999999999999</v>
      </c>
      <c r="Y42" s="714">
        <v>5.3</v>
      </c>
      <c r="Z42" s="714">
        <v>0.05</v>
      </c>
      <c r="AA42" s="714">
        <v>17.498999999999999</v>
      </c>
      <c r="AB42" s="714">
        <v>16.963999999999999</v>
      </c>
      <c r="AC42" s="704">
        <v>14.382999999999999</v>
      </c>
      <c r="AD42" s="704">
        <v>12.401999999999999</v>
      </c>
      <c r="AE42" s="704">
        <v>11.292999999999999</v>
      </c>
      <c r="AF42" s="715">
        <v>4.5519999999999996</v>
      </c>
      <c r="AG42" s="704"/>
      <c r="AH42" s="715"/>
      <c r="AI42" s="715"/>
      <c r="AJ42" s="716"/>
      <c r="AK42" s="704"/>
      <c r="AL42" s="717">
        <f t="shared" si="0"/>
        <v>1.4439999999999991</v>
      </c>
      <c r="AM42" s="718">
        <v>2.5099999999999998</v>
      </c>
      <c r="AN42" s="718">
        <v>1.74</v>
      </c>
      <c r="AO42" s="718">
        <f t="shared" si="1"/>
        <v>4.9529199999999971</v>
      </c>
      <c r="AP42" s="718">
        <f t="shared" si="2"/>
        <v>9.2029199999999971</v>
      </c>
      <c r="AQ42" s="719">
        <v>4.5999999999999996</v>
      </c>
      <c r="AR42" s="719">
        <v>4</v>
      </c>
      <c r="AS42" s="716">
        <v>28</v>
      </c>
      <c r="AT42" s="716">
        <v>0.6</v>
      </c>
      <c r="AU42" s="716">
        <v>28</v>
      </c>
      <c r="AV42" s="716">
        <f t="shared" si="3"/>
        <v>16.8</v>
      </c>
      <c r="AW42" s="716">
        <f t="shared" si="4"/>
        <v>112</v>
      </c>
      <c r="AX42" s="716">
        <f t="shared" ref="AX42:AX46" si="23">AQ42*AS42</f>
        <v>128.79999999999998</v>
      </c>
      <c r="AY42" s="716">
        <f t="shared" si="11"/>
        <v>0</v>
      </c>
      <c r="AZ42" s="716">
        <v>100</v>
      </c>
      <c r="BA42" s="716"/>
      <c r="BB42" s="720">
        <v>10000</v>
      </c>
      <c r="BC42" s="716">
        <v>52</v>
      </c>
      <c r="BD42" s="716">
        <v>10</v>
      </c>
      <c r="BE42" s="716">
        <v>80</v>
      </c>
      <c r="BF42" s="716"/>
      <c r="BG42" s="716"/>
      <c r="BH42" s="716"/>
      <c r="BI42" s="716"/>
      <c r="BJ42" s="716"/>
      <c r="BK42" s="716"/>
      <c r="BL42" s="716"/>
      <c r="BM42" s="721">
        <v>45</v>
      </c>
      <c r="BN42" s="722">
        <f t="shared" si="6"/>
        <v>425.00292000000002</v>
      </c>
      <c r="BO42" s="723"/>
      <c r="BP42" s="723"/>
      <c r="BQ42" s="724"/>
      <c r="BR42" s="703">
        <f t="shared" si="7"/>
        <v>400</v>
      </c>
      <c r="BS42" s="703">
        <f t="shared" si="8"/>
        <v>194</v>
      </c>
    </row>
    <row r="43" spans="1:71">
      <c r="A43" s="704" t="s">
        <v>40</v>
      </c>
      <c r="B43" s="705">
        <v>41</v>
      </c>
      <c r="C43" s="706"/>
      <c r="D43" s="707" t="s">
        <v>79</v>
      </c>
      <c r="E43" s="706" t="s">
        <v>80</v>
      </c>
      <c r="F43" s="708">
        <v>32805</v>
      </c>
      <c r="G43" s="706" t="s">
        <v>384</v>
      </c>
      <c r="H43" s="709">
        <v>70597</v>
      </c>
      <c r="I43" s="710" t="s">
        <v>323</v>
      </c>
      <c r="J43" s="711" t="s">
        <v>385</v>
      </c>
      <c r="K43" s="725"/>
      <c r="L43" s="706"/>
      <c r="M43" s="713">
        <v>18132</v>
      </c>
      <c r="N43" s="714"/>
      <c r="O43" s="714">
        <v>17.244</v>
      </c>
      <c r="P43" s="714">
        <v>15.243</v>
      </c>
      <c r="Q43" s="714">
        <v>7.7949999999999999</v>
      </c>
      <c r="R43" s="714">
        <v>0.25</v>
      </c>
      <c r="S43" s="714">
        <v>107.137</v>
      </c>
      <c r="T43" s="714">
        <v>102.32599999999999</v>
      </c>
      <c r="U43" s="714">
        <v>86.100999999999999</v>
      </c>
      <c r="V43" s="714">
        <v>73.269000000000005</v>
      </c>
      <c r="W43" s="714">
        <v>50.896000000000001</v>
      </c>
      <c r="X43" s="714">
        <v>37.459000000000003</v>
      </c>
      <c r="Y43" s="714">
        <v>24.37</v>
      </c>
      <c r="Z43" s="714">
        <v>0.05</v>
      </c>
      <c r="AA43" s="714">
        <v>68.126000000000005</v>
      </c>
      <c r="AB43" s="714">
        <v>86.980999999999995</v>
      </c>
      <c r="AC43" s="704">
        <v>69.376999999999995</v>
      </c>
      <c r="AD43" s="704">
        <v>54.555999999999997</v>
      </c>
      <c r="AE43" s="704">
        <v>42.845999999999997</v>
      </c>
      <c r="AF43" s="715">
        <v>14.62</v>
      </c>
      <c r="AG43" s="704"/>
      <c r="AH43" s="715"/>
      <c r="AI43" s="715"/>
      <c r="AJ43" s="716"/>
      <c r="AK43" s="704"/>
      <c r="AL43" s="717">
        <f t="shared" si="0"/>
        <v>2.0009999999999994</v>
      </c>
      <c r="AM43" s="718">
        <v>2.5099999999999998</v>
      </c>
      <c r="AN43" s="718">
        <v>1.74</v>
      </c>
      <c r="AO43" s="718">
        <f t="shared" si="1"/>
        <v>6.8634299999999984</v>
      </c>
      <c r="AP43" s="718">
        <f t="shared" si="2"/>
        <v>11.113429999999997</v>
      </c>
      <c r="AQ43" s="719">
        <v>4.0999999999999996</v>
      </c>
      <c r="AR43" s="719">
        <v>3.4999999999999996</v>
      </c>
      <c r="AS43" s="716">
        <v>28</v>
      </c>
      <c r="AT43" s="716">
        <v>0.6</v>
      </c>
      <c r="AU43" s="716">
        <v>28</v>
      </c>
      <c r="AV43" s="716">
        <f t="shared" si="3"/>
        <v>16.8</v>
      </c>
      <c r="AW43" s="716">
        <f t="shared" si="4"/>
        <v>97.999999999999986</v>
      </c>
      <c r="AX43" s="716">
        <f t="shared" si="23"/>
        <v>114.79999999999998</v>
      </c>
      <c r="AY43" s="716">
        <f t="shared" si="11"/>
        <v>0</v>
      </c>
      <c r="AZ43" s="716">
        <v>100</v>
      </c>
      <c r="BA43" s="716">
        <v>32.5</v>
      </c>
      <c r="BB43" s="720"/>
      <c r="BC43" s="716"/>
      <c r="BD43" s="716">
        <v>10</v>
      </c>
      <c r="BE43" s="716">
        <v>80</v>
      </c>
      <c r="BF43" s="716"/>
      <c r="BG43" s="716"/>
      <c r="BH43" s="716"/>
      <c r="BI43" s="716"/>
      <c r="BJ43" s="716"/>
      <c r="BK43" s="716"/>
      <c r="BL43" s="716"/>
      <c r="BM43" s="721"/>
      <c r="BN43" s="722">
        <f t="shared" si="6"/>
        <v>348.41342999999995</v>
      </c>
      <c r="BO43" s="723"/>
      <c r="BP43" s="723"/>
      <c r="BQ43" s="724"/>
      <c r="BR43" s="703">
        <f t="shared" si="7"/>
        <v>349.99999999999994</v>
      </c>
      <c r="BS43" s="703">
        <f t="shared" si="8"/>
        <v>195</v>
      </c>
    </row>
    <row r="44" spans="1:71">
      <c r="A44" s="704" t="s">
        <v>40</v>
      </c>
      <c r="B44" s="705">
        <v>42</v>
      </c>
      <c r="C44" s="706"/>
      <c r="D44" s="707" t="s">
        <v>70</v>
      </c>
      <c r="E44" s="706" t="s">
        <v>42</v>
      </c>
      <c r="F44" s="708">
        <v>40026</v>
      </c>
      <c r="G44" s="738" t="s">
        <v>386</v>
      </c>
      <c r="H44" s="709">
        <v>70180</v>
      </c>
      <c r="I44" s="710" t="s">
        <v>323</v>
      </c>
      <c r="J44" s="711">
        <v>606080</v>
      </c>
      <c r="K44" s="747"/>
      <c r="L44" s="706" t="s">
        <v>387</v>
      </c>
      <c r="M44" s="713">
        <v>18348</v>
      </c>
      <c r="N44" s="714"/>
      <c r="O44" s="714">
        <v>16.495000000000001</v>
      </c>
      <c r="P44" s="714">
        <v>14.805</v>
      </c>
      <c r="Q44" s="714">
        <v>7.758</v>
      </c>
      <c r="R44" s="714">
        <v>0.25</v>
      </c>
      <c r="S44" s="714">
        <v>46.698</v>
      </c>
      <c r="T44" s="714">
        <v>44.978999999999999</v>
      </c>
      <c r="U44" s="714">
        <v>33.323</v>
      </c>
      <c r="V44" s="714">
        <v>28.629000000000001</v>
      </c>
      <c r="W44" s="714">
        <v>19.184000000000001</v>
      </c>
      <c r="X44" s="714">
        <v>14.148</v>
      </c>
      <c r="Y44" s="714">
        <v>7.73</v>
      </c>
      <c r="Z44" s="714">
        <v>0.05</v>
      </c>
      <c r="AA44" s="714">
        <v>22.437999999999999</v>
      </c>
      <c r="AB44" s="714">
        <v>21.94</v>
      </c>
      <c r="AC44" s="704">
        <v>18.524000000000001</v>
      </c>
      <c r="AD44" s="704">
        <v>15.475</v>
      </c>
      <c r="AE44" s="704">
        <v>13.826000000000001</v>
      </c>
      <c r="AF44" s="715">
        <v>9.0540000000000003</v>
      </c>
      <c r="AG44" s="704"/>
      <c r="AH44" s="715"/>
      <c r="AI44" s="715"/>
      <c r="AJ44" s="716"/>
      <c r="AK44" s="704"/>
      <c r="AL44" s="717">
        <f t="shared" si="0"/>
        <v>1.6900000000000013</v>
      </c>
      <c r="AM44" s="718">
        <v>2.5099999999999998</v>
      </c>
      <c r="AN44" s="718">
        <v>1.74</v>
      </c>
      <c r="AO44" s="718">
        <f t="shared" si="1"/>
        <v>5.7967000000000048</v>
      </c>
      <c r="AP44" s="718">
        <f t="shared" si="2"/>
        <v>10.046700000000005</v>
      </c>
      <c r="AQ44" s="719">
        <v>4.0999999999999996</v>
      </c>
      <c r="AR44" s="719">
        <v>3.4999999999999996</v>
      </c>
      <c r="AS44" s="716">
        <v>28</v>
      </c>
      <c r="AT44" s="716">
        <v>0.6</v>
      </c>
      <c r="AU44" s="716">
        <v>28</v>
      </c>
      <c r="AV44" s="716">
        <f t="shared" si="3"/>
        <v>16.8</v>
      </c>
      <c r="AW44" s="716">
        <f t="shared" si="4"/>
        <v>97.999999999999986</v>
      </c>
      <c r="AX44" s="716">
        <f t="shared" si="23"/>
        <v>114.79999999999998</v>
      </c>
      <c r="AY44" s="716">
        <f t="shared" si="11"/>
        <v>0</v>
      </c>
      <c r="AZ44" s="716">
        <v>100</v>
      </c>
      <c r="BA44" s="716"/>
      <c r="BB44" s="720">
        <v>15000</v>
      </c>
      <c r="BC44" s="716">
        <v>77</v>
      </c>
      <c r="BD44" s="716">
        <v>10</v>
      </c>
      <c r="BE44" s="716">
        <v>80</v>
      </c>
      <c r="BF44" s="716"/>
      <c r="BG44" s="716"/>
      <c r="BH44" s="716"/>
      <c r="BI44" s="716"/>
      <c r="BJ44" s="716"/>
      <c r="BK44" s="716"/>
      <c r="BL44" s="716"/>
      <c r="BM44" s="721"/>
      <c r="BN44" s="722">
        <f t="shared" si="6"/>
        <v>391.8467</v>
      </c>
      <c r="BO44" s="723"/>
      <c r="BP44" s="723"/>
      <c r="BQ44" s="724"/>
      <c r="BR44" s="703">
        <f t="shared" si="7"/>
        <v>349.99999999999994</v>
      </c>
      <c r="BS44" s="703">
        <f t="shared" si="8"/>
        <v>196</v>
      </c>
    </row>
    <row r="45" spans="1:71">
      <c r="A45" s="704" t="s">
        <v>40</v>
      </c>
      <c r="B45" s="705">
        <v>43</v>
      </c>
      <c r="C45" s="706"/>
      <c r="D45" s="707" t="s">
        <v>81</v>
      </c>
      <c r="E45" s="706" t="s">
        <v>82</v>
      </c>
      <c r="F45" s="708">
        <v>24304</v>
      </c>
      <c r="G45" s="706" t="s">
        <v>388</v>
      </c>
      <c r="H45" s="709">
        <v>70188</v>
      </c>
      <c r="I45" s="710" t="s">
        <v>323</v>
      </c>
      <c r="J45" s="711" t="s">
        <v>389</v>
      </c>
      <c r="K45" s="730"/>
      <c r="L45" s="706"/>
      <c r="M45" s="713">
        <v>13983</v>
      </c>
      <c r="N45" s="714"/>
      <c r="O45" s="714">
        <v>22.827999999999999</v>
      </c>
      <c r="P45" s="714">
        <v>20.513000000000002</v>
      </c>
      <c r="Q45" s="714">
        <v>10.464</v>
      </c>
      <c r="R45" s="714">
        <v>0.25</v>
      </c>
      <c r="S45" s="714">
        <v>31.725000000000001</v>
      </c>
      <c r="T45" s="714">
        <v>31.725000000000001</v>
      </c>
      <c r="U45" s="714">
        <v>31.725000000000001</v>
      </c>
      <c r="V45" s="714">
        <v>31.712</v>
      </c>
      <c r="W45" s="714">
        <v>23.827000000000002</v>
      </c>
      <c r="X45" s="714">
        <v>18.263000000000002</v>
      </c>
      <c r="Y45" s="714">
        <v>11.96</v>
      </c>
      <c r="Z45" s="714">
        <v>0.05</v>
      </c>
      <c r="AA45" s="714">
        <v>19.760000000000002</v>
      </c>
      <c r="AB45" s="714">
        <v>18.12</v>
      </c>
      <c r="AC45" s="704">
        <v>12.87</v>
      </c>
      <c r="AD45" s="704">
        <v>10.8</v>
      </c>
      <c r="AE45" s="704">
        <v>8.7850000000000001</v>
      </c>
      <c r="AF45" s="715">
        <v>4.46</v>
      </c>
      <c r="AG45" s="704"/>
      <c r="AH45" s="715"/>
      <c r="AI45" s="715"/>
      <c r="AJ45" s="716"/>
      <c r="AK45" s="704"/>
      <c r="AL45" s="717">
        <f t="shared" si="0"/>
        <v>2.3149999999999977</v>
      </c>
      <c r="AM45" s="718">
        <v>2.5099999999999998</v>
      </c>
      <c r="AN45" s="718">
        <v>1.74</v>
      </c>
      <c r="AO45" s="718">
        <f t="shared" si="1"/>
        <v>7.9404499999999922</v>
      </c>
      <c r="AP45" s="718">
        <f t="shared" si="2"/>
        <v>12.190449999999991</v>
      </c>
      <c r="AQ45" s="719">
        <v>4.0999999999999996</v>
      </c>
      <c r="AR45" s="719">
        <v>3.4999999999999996</v>
      </c>
      <c r="AS45" s="716">
        <v>28</v>
      </c>
      <c r="AT45" s="716">
        <v>0.6</v>
      </c>
      <c r="AU45" s="716">
        <v>28</v>
      </c>
      <c r="AV45" s="716">
        <f t="shared" si="3"/>
        <v>16.8</v>
      </c>
      <c r="AW45" s="716">
        <f t="shared" si="4"/>
        <v>97.999999999999986</v>
      </c>
      <c r="AX45" s="716">
        <f t="shared" si="23"/>
        <v>114.79999999999998</v>
      </c>
      <c r="AY45" s="716">
        <f t="shared" si="11"/>
        <v>0</v>
      </c>
      <c r="AZ45" s="716"/>
      <c r="BA45" s="716">
        <v>32.5</v>
      </c>
      <c r="BB45" s="720">
        <v>8500</v>
      </c>
      <c r="BC45" s="716">
        <v>40</v>
      </c>
      <c r="BD45" s="716">
        <v>10</v>
      </c>
      <c r="BE45" s="716">
        <v>80</v>
      </c>
      <c r="BF45" s="716"/>
      <c r="BG45" s="716"/>
      <c r="BH45" s="716"/>
      <c r="BI45" s="716"/>
      <c r="BJ45" s="716"/>
      <c r="BK45" s="716"/>
      <c r="BL45" s="716"/>
      <c r="BM45" s="721"/>
      <c r="BN45" s="722">
        <f t="shared" si="6"/>
        <v>289.49044999999995</v>
      </c>
      <c r="BO45" s="723"/>
      <c r="BP45" s="723"/>
      <c r="BQ45" s="724"/>
      <c r="BR45" s="703">
        <f t="shared" si="7"/>
        <v>349.99999999999994</v>
      </c>
      <c r="BS45" s="703">
        <f t="shared" si="8"/>
        <v>197</v>
      </c>
    </row>
    <row r="46" spans="1:71">
      <c r="A46" s="704" t="s">
        <v>40</v>
      </c>
      <c r="B46" s="705">
        <v>44</v>
      </c>
      <c r="C46" s="706"/>
      <c r="D46" s="707" t="s">
        <v>390</v>
      </c>
      <c r="E46" s="706" t="s">
        <v>391</v>
      </c>
      <c r="F46" s="708">
        <v>44166</v>
      </c>
      <c r="G46" s="706" t="s">
        <v>764</v>
      </c>
      <c r="H46" s="710">
        <v>70619</v>
      </c>
      <c r="I46" s="710" t="s">
        <v>348</v>
      </c>
      <c r="J46" s="711"/>
      <c r="K46" s="748" t="s">
        <v>392</v>
      </c>
      <c r="L46" s="706" t="s">
        <v>393</v>
      </c>
      <c r="M46" s="713">
        <v>30000</v>
      </c>
      <c r="N46" s="714" t="s">
        <v>394</v>
      </c>
      <c r="O46" s="714">
        <v>25.629000000000001</v>
      </c>
      <c r="P46" s="714">
        <v>22.064</v>
      </c>
      <c r="Q46" s="714">
        <v>9.7690000000000001</v>
      </c>
      <c r="R46" s="714">
        <v>0.25</v>
      </c>
      <c r="S46" s="714">
        <v>33.682000000000002</v>
      </c>
      <c r="T46" s="714">
        <v>30.175000000000001</v>
      </c>
      <c r="U46" s="714">
        <v>26.466000000000001</v>
      </c>
      <c r="V46" s="714">
        <v>22.489000000000001</v>
      </c>
      <c r="W46" s="714">
        <v>13.233000000000001</v>
      </c>
      <c r="X46" s="714">
        <v>7.6230000000000002</v>
      </c>
      <c r="Y46" s="714">
        <v>3.84</v>
      </c>
      <c r="Z46" s="714">
        <v>0.05</v>
      </c>
      <c r="AA46" s="714">
        <v>10.081</v>
      </c>
      <c r="AB46" s="714">
        <v>9.1690000000000005</v>
      </c>
      <c r="AC46" s="704">
        <v>6.8890000000000002</v>
      </c>
      <c r="AD46" s="704">
        <v>6.3140000000000001</v>
      </c>
      <c r="AE46" s="704">
        <v>4.5590000000000002</v>
      </c>
      <c r="AF46" s="715">
        <v>1.4610000000000001</v>
      </c>
      <c r="AG46" s="704"/>
      <c r="AH46" s="715"/>
      <c r="AI46" s="715"/>
      <c r="AJ46" s="716"/>
      <c r="AK46" s="704"/>
      <c r="AL46" s="717">
        <f t="shared" si="0"/>
        <v>3.5650000000000013</v>
      </c>
      <c r="AM46" s="718">
        <v>2.5099999999999998</v>
      </c>
      <c r="AN46" s="718">
        <v>1.74</v>
      </c>
      <c r="AO46" s="718">
        <f t="shared" si="1"/>
        <v>12.227950000000005</v>
      </c>
      <c r="AP46" s="718">
        <f t="shared" si="2"/>
        <v>16.477950000000007</v>
      </c>
      <c r="AQ46" s="719">
        <v>3.6</v>
      </c>
      <c r="AR46" s="719">
        <v>3</v>
      </c>
      <c r="AS46" s="716">
        <v>28</v>
      </c>
      <c r="AT46" s="716">
        <v>0.6</v>
      </c>
      <c r="AU46" s="716">
        <v>28</v>
      </c>
      <c r="AV46" s="716">
        <f t="shared" si="3"/>
        <v>16.8</v>
      </c>
      <c r="AW46" s="716">
        <f t="shared" si="4"/>
        <v>84</v>
      </c>
      <c r="AX46" s="716">
        <f t="shared" si="23"/>
        <v>100.8</v>
      </c>
      <c r="AY46" s="716">
        <f t="shared" si="11"/>
        <v>0</v>
      </c>
      <c r="AZ46" s="716">
        <v>100</v>
      </c>
      <c r="BA46" s="716"/>
      <c r="BB46" s="720">
        <v>10000</v>
      </c>
      <c r="BC46" s="716">
        <v>52</v>
      </c>
      <c r="BD46" s="716">
        <v>10</v>
      </c>
      <c r="BE46" s="716">
        <v>80</v>
      </c>
      <c r="BF46" s="716"/>
      <c r="BG46" s="716"/>
      <c r="BH46" s="716"/>
      <c r="BI46" s="716"/>
      <c r="BJ46" s="716"/>
      <c r="BK46" s="716"/>
      <c r="BL46" s="716"/>
      <c r="BM46" s="721">
        <v>60</v>
      </c>
      <c r="BN46" s="722">
        <f t="shared" si="6"/>
        <v>419.27795000000003</v>
      </c>
      <c r="BO46" s="723"/>
      <c r="BP46" s="723"/>
      <c r="BQ46" s="724"/>
      <c r="BR46" s="703">
        <f t="shared" si="7"/>
        <v>300</v>
      </c>
      <c r="BS46" s="703">
        <f t="shared" si="8"/>
        <v>198</v>
      </c>
    </row>
    <row r="47" spans="1:71">
      <c r="A47" s="704" t="s">
        <v>40</v>
      </c>
      <c r="B47" s="705">
        <v>45</v>
      </c>
      <c r="C47" s="706"/>
      <c r="D47" s="707" t="s">
        <v>877</v>
      </c>
      <c r="E47" s="706" t="s">
        <v>878</v>
      </c>
      <c r="F47" s="708">
        <v>45200</v>
      </c>
      <c r="G47" s="706" t="s">
        <v>879</v>
      </c>
      <c r="H47" s="710">
        <v>70619</v>
      </c>
      <c r="I47" s="710" t="s">
        <v>348</v>
      </c>
      <c r="J47" s="711"/>
      <c r="K47" s="748" t="s">
        <v>880</v>
      </c>
      <c r="L47" s="706" t="s">
        <v>881</v>
      </c>
      <c r="M47" s="713">
        <v>32675</v>
      </c>
      <c r="N47" s="714" t="s">
        <v>882</v>
      </c>
      <c r="O47" s="714">
        <v>4.9829999999999997</v>
      </c>
      <c r="P47" s="714">
        <v>4.0199999999999996</v>
      </c>
      <c r="Q47" s="714">
        <v>1.446</v>
      </c>
      <c r="R47" s="714">
        <v>0.25</v>
      </c>
      <c r="S47" s="714">
        <v>11.202999999999999</v>
      </c>
      <c r="T47" s="714">
        <v>11.157999999999999</v>
      </c>
      <c r="U47" s="714">
        <v>10.583</v>
      </c>
      <c r="V47" s="714">
        <v>9.5969999999999995</v>
      </c>
      <c r="W47" s="714">
        <v>8.7569999999999997</v>
      </c>
      <c r="X47" s="714">
        <v>6.1529999999999996</v>
      </c>
      <c r="Y47" s="714">
        <v>3.44</v>
      </c>
      <c r="Z47" s="714">
        <v>0.05</v>
      </c>
      <c r="AA47" s="714">
        <v>24.358000000000001</v>
      </c>
      <c r="AB47" s="714">
        <v>20.937999999999999</v>
      </c>
      <c r="AC47" s="704">
        <v>15.347</v>
      </c>
      <c r="AD47" s="704">
        <v>13.09</v>
      </c>
      <c r="AE47" s="704">
        <v>9.2889999999999997</v>
      </c>
      <c r="AF47" s="715">
        <v>6.6520000000000001</v>
      </c>
      <c r="AG47" s="704"/>
      <c r="AH47" s="715"/>
      <c r="AI47" s="715"/>
      <c r="AJ47" s="716"/>
      <c r="AK47" s="704"/>
      <c r="AL47" s="717">
        <f t="shared" si="0"/>
        <v>0.96300000000000008</v>
      </c>
      <c r="AM47" s="718">
        <v>2.5099999999999998</v>
      </c>
      <c r="AN47" s="718">
        <v>1.74</v>
      </c>
      <c r="AO47" s="718">
        <f t="shared" si="1"/>
        <v>3.3030900000000005</v>
      </c>
      <c r="AP47" s="718">
        <f t="shared" si="2"/>
        <v>7.553090000000001</v>
      </c>
      <c r="AQ47" s="719">
        <v>3.6</v>
      </c>
      <c r="AR47" s="719">
        <v>3</v>
      </c>
      <c r="AS47" s="716">
        <v>28</v>
      </c>
      <c r="AT47" s="716">
        <v>0.6</v>
      </c>
      <c r="AU47" s="716">
        <v>28</v>
      </c>
      <c r="AV47" s="716">
        <f t="shared" ref="AV47" si="24">AT47*AU47</f>
        <v>16.8</v>
      </c>
      <c r="AW47" s="716">
        <f t="shared" ref="AW47" si="25">AR47*AS47</f>
        <v>84</v>
      </c>
      <c r="AX47" s="716"/>
      <c r="AY47" s="716">
        <f t="shared" si="11"/>
        <v>-100.8</v>
      </c>
      <c r="AZ47" s="716">
        <v>100</v>
      </c>
      <c r="BA47" s="716"/>
      <c r="BB47" s="720">
        <v>5000</v>
      </c>
      <c r="BC47" s="716">
        <v>25</v>
      </c>
      <c r="BD47" s="716">
        <v>10</v>
      </c>
      <c r="BE47" s="716">
        <v>80</v>
      </c>
      <c r="BF47" s="716"/>
      <c r="BG47" s="716"/>
      <c r="BH47" s="716"/>
      <c r="BI47" s="716"/>
      <c r="BJ47" s="716"/>
      <c r="BK47" s="716" t="s">
        <v>1052</v>
      </c>
      <c r="BL47" s="716">
        <v>551</v>
      </c>
      <c r="BM47" s="721"/>
      <c r="BN47" s="722">
        <f t="shared" si="6"/>
        <v>874.35309000000007</v>
      </c>
      <c r="BO47" s="723"/>
      <c r="BP47" s="723"/>
      <c r="BQ47" s="724"/>
      <c r="BR47" s="703">
        <f t="shared" si="7"/>
        <v>300</v>
      </c>
      <c r="BS47" s="703">
        <f t="shared" si="8"/>
        <v>199</v>
      </c>
    </row>
    <row r="48" spans="1:71">
      <c r="A48" s="704" t="s">
        <v>40</v>
      </c>
      <c r="B48" s="705">
        <v>46</v>
      </c>
      <c r="C48" s="706"/>
      <c r="D48" s="707" t="s">
        <v>883</v>
      </c>
      <c r="E48" s="706" t="s">
        <v>696</v>
      </c>
      <c r="F48" s="708">
        <v>45017</v>
      </c>
      <c r="G48" s="706" t="s">
        <v>884</v>
      </c>
      <c r="H48" s="709">
        <v>70619</v>
      </c>
      <c r="I48" s="710" t="s">
        <v>323</v>
      </c>
      <c r="J48" s="733"/>
      <c r="K48" s="743" t="s">
        <v>885</v>
      </c>
      <c r="L48" s="706" t="s">
        <v>886</v>
      </c>
      <c r="M48" s="713">
        <v>33060</v>
      </c>
      <c r="N48" s="714" t="s">
        <v>395</v>
      </c>
      <c r="O48" s="714">
        <v>9.2919999999999998</v>
      </c>
      <c r="P48" s="714">
        <v>8.468</v>
      </c>
      <c r="Q48" s="714">
        <v>3.5680000000000001</v>
      </c>
      <c r="R48" s="714">
        <v>0.25</v>
      </c>
      <c r="S48" s="714">
        <v>21.201000000000001</v>
      </c>
      <c r="T48" s="714">
        <v>20.542000000000002</v>
      </c>
      <c r="U48" s="714">
        <v>15.465</v>
      </c>
      <c r="V48" s="714">
        <v>12.420999999999999</v>
      </c>
      <c r="W48" s="714">
        <v>5.726</v>
      </c>
      <c r="X48" s="714">
        <v>1.964</v>
      </c>
      <c r="Y48" s="714">
        <v>0.8</v>
      </c>
      <c r="Z48" s="714">
        <v>0.05</v>
      </c>
      <c r="AA48" s="714">
        <v>36.996000000000002</v>
      </c>
      <c r="AB48" s="714">
        <v>36.850999999999999</v>
      </c>
      <c r="AC48" s="704">
        <v>34.966999999999999</v>
      </c>
      <c r="AD48" s="704">
        <v>28.026</v>
      </c>
      <c r="AE48" s="704">
        <v>12.848000000000001</v>
      </c>
      <c r="AF48" s="715">
        <v>8.0719999999999992</v>
      </c>
      <c r="AG48" s="704"/>
      <c r="AH48" s="715"/>
      <c r="AI48" s="715"/>
      <c r="AJ48" s="716"/>
      <c r="AK48" s="704"/>
      <c r="AL48" s="717">
        <f t="shared" si="0"/>
        <v>0.82399999999999984</v>
      </c>
      <c r="AM48" s="718">
        <v>2.5099999999999998</v>
      </c>
      <c r="AN48" s="718">
        <v>1.74</v>
      </c>
      <c r="AO48" s="718">
        <f t="shared" si="1"/>
        <v>2.8263199999999995</v>
      </c>
      <c r="AP48" s="718">
        <f t="shared" si="2"/>
        <v>7.0763199999999991</v>
      </c>
      <c r="AQ48" s="719">
        <v>3.6</v>
      </c>
      <c r="AR48" s="719">
        <v>3</v>
      </c>
      <c r="AS48" s="716">
        <v>28</v>
      </c>
      <c r="AT48" s="716">
        <v>0.6</v>
      </c>
      <c r="AU48" s="716">
        <v>28</v>
      </c>
      <c r="AV48" s="716">
        <f t="shared" si="3"/>
        <v>16.8</v>
      </c>
      <c r="AW48" s="716">
        <f t="shared" si="4"/>
        <v>84</v>
      </c>
      <c r="AX48" s="716">
        <f t="shared" ref="AX48" si="26">AQ48*AS48</f>
        <v>100.8</v>
      </c>
      <c r="AY48" s="716">
        <f t="shared" si="11"/>
        <v>0</v>
      </c>
      <c r="AZ48" s="716">
        <v>100</v>
      </c>
      <c r="BA48" s="716"/>
      <c r="BB48" s="720"/>
      <c r="BC48" s="716"/>
      <c r="BD48" s="716">
        <v>10</v>
      </c>
      <c r="BE48" s="716">
        <v>80</v>
      </c>
      <c r="BF48" s="716"/>
      <c r="BG48" s="716"/>
      <c r="BH48" s="716"/>
      <c r="BI48" s="716"/>
      <c r="BJ48" s="716"/>
      <c r="BK48" s="716"/>
      <c r="BL48" s="716"/>
      <c r="BM48" s="721">
        <v>60</v>
      </c>
      <c r="BN48" s="722">
        <f t="shared" si="6"/>
        <v>357.87631999999996</v>
      </c>
      <c r="BO48" s="723"/>
      <c r="BP48" s="723"/>
      <c r="BQ48" s="724"/>
      <c r="BR48" s="703">
        <f t="shared" si="7"/>
        <v>300</v>
      </c>
      <c r="BS48" s="703">
        <f t="shared" si="8"/>
        <v>200</v>
      </c>
    </row>
    <row r="49" spans="1:71" s="726" customFormat="1">
      <c r="A49" s="704" t="s">
        <v>40</v>
      </c>
      <c r="B49" s="705">
        <v>47</v>
      </c>
      <c r="C49" s="706"/>
      <c r="D49" s="707" t="s">
        <v>692</v>
      </c>
      <c r="E49" s="706" t="s">
        <v>117</v>
      </c>
      <c r="F49" s="708">
        <v>44531</v>
      </c>
      <c r="G49" s="707" t="s">
        <v>765</v>
      </c>
      <c r="H49" s="709">
        <v>70178</v>
      </c>
      <c r="I49" s="710" t="s">
        <v>323</v>
      </c>
      <c r="J49" s="711"/>
      <c r="K49" s="712" t="s">
        <v>766</v>
      </c>
      <c r="L49" s="706" t="s">
        <v>887</v>
      </c>
      <c r="M49" s="713" t="s">
        <v>767</v>
      </c>
      <c r="N49" s="714" t="s">
        <v>768</v>
      </c>
      <c r="O49" s="714">
        <v>78.603999999999999</v>
      </c>
      <c r="P49" s="714">
        <v>67.495000000000005</v>
      </c>
      <c r="Q49" s="714">
        <v>48.161000000000001</v>
      </c>
      <c r="R49" s="714">
        <v>0.25</v>
      </c>
      <c r="S49" s="714">
        <v>20.245999999999999</v>
      </c>
      <c r="T49" s="714">
        <v>19.402000000000001</v>
      </c>
      <c r="U49" s="714">
        <v>18.277999999999999</v>
      </c>
      <c r="V49" s="714">
        <v>16.891999999999999</v>
      </c>
      <c r="W49" s="714">
        <v>12.291</v>
      </c>
      <c r="X49" s="714">
        <v>9.8360000000000003</v>
      </c>
      <c r="Y49" s="714">
        <v>6.84</v>
      </c>
      <c r="Z49" s="714">
        <v>0.05</v>
      </c>
      <c r="AA49" s="714">
        <v>26.568999999999999</v>
      </c>
      <c r="AB49" s="714">
        <v>24.495000000000001</v>
      </c>
      <c r="AC49" s="704">
        <v>22.082000000000001</v>
      </c>
      <c r="AD49" s="704">
        <v>18.698</v>
      </c>
      <c r="AE49" s="704">
        <v>15.135999999999999</v>
      </c>
      <c r="AF49" s="715">
        <v>10.936999999999999</v>
      </c>
      <c r="AG49" s="704"/>
      <c r="AH49" s="715"/>
      <c r="AI49" s="715"/>
      <c r="AJ49" s="716"/>
      <c r="AK49" s="704"/>
      <c r="AL49" s="717">
        <f t="shared" si="0"/>
        <v>11.108999999999995</v>
      </c>
      <c r="AM49" s="718">
        <v>2.5099999999999998</v>
      </c>
      <c r="AN49" s="718">
        <v>1.74</v>
      </c>
      <c r="AO49" s="718">
        <f t="shared" si="1"/>
        <v>38.103869999999986</v>
      </c>
      <c r="AP49" s="718">
        <f t="shared" si="2"/>
        <v>42.353869999999986</v>
      </c>
      <c r="AQ49" s="719">
        <v>3.6</v>
      </c>
      <c r="AR49" s="719">
        <v>3</v>
      </c>
      <c r="AS49" s="716">
        <v>28</v>
      </c>
      <c r="AT49" s="716">
        <v>0.6</v>
      </c>
      <c r="AU49" s="716">
        <v>28</v>
      </c>
      <c r="AV49" s="716">
        <f t="shared" si="3"/>
        <v>16.8</v>
      </c>
      <c r="AW49" s="716">
        <f t="shared" si="4"/>
        <v>84</v>
      </c>
      <c r="AX49" s="716">
        <f t="shared" ref="AX49:AX51" si="27">AQ49*AS49</f>
        <v>100.8</v>
      </c>
      <c r="AY49" s="716">
        <f t="shared" si="11"/>
        <v>0</v>
      </c>
      <c r="AZ49" s="716">
        <v>100</v>
      </c>
      <c r="BA49" s="716"/>
      <c r="BB49" s="720">
        <v>10000</v>
      </c>
      <c r="BC49" s="716">
        <f>52</f>
        <v>52</v>
      </c>
      <c r="BD49" s="716">
        <v>10</v>
      </c>
      <c r="BE49" s="716">
        <v>80</v>
      </c>
      <c r="BF49" s="716"/>
      <c r="BG49" s="716"/>
      <c r="BH49" s="716"/>
      <c r="BI49" s="716"/>
      <c r="BJ49" s="744"/>
      <c r="BK49" s="744"/>
      <c r="BL49" s="744"/>
      <c r="BM49" s="745"/>
      <c r="BN49" s="722">
        <f t="shared" si="6"/>
        <v>385.15386999999998</v>
      </c>
      <c r="BO49" s="708"/>
      <c r="BP49" s="708"/>
      <c r="BQ49" s="724"/>
      <c r="BR49" s="703">
        <f t="shared" si="7"/>
        <v>300</v>
      </c>
      <c r="BS49" s="703">
        <f t="shared" si="8"/>
        <v>201</v>
      </c>
    </row>
    <row r="50" spans="1:71">
      <c r="A50" s="704" t="s">
        <v>40</v>
      </c>
      <c r="B50" s="705">
        <v>48</v>
      </c>
      <c r="C50" s="706"/>
      <c r="D50" s="707" t="s">
        <v>995</v>
      </c>
      <c r="E50" s="706" t="s">
        <v>996</v>
      </c>
      <c r="F50" s="708">
        <v>45413</v>
      </c>
      <c r="G50" s="706" t="s">
        <v>997</v>
      </c>
      <c r="H50" s="709">
        <v>70329</v>
      </c>
      <c r="I50" s="710" t="s">
        <v>323</v>
      </c>
      <c r="J50" s="711"/>
      <c r="K50" s="725" t="s">
        <v>998</v>
      </c>
      <c r="L50" s="706" t="s">
        <v>999</v>
      </c>
      <c r="M50" s="713">
        <v>30901</v>
      </c>
      <c r="N50" s="714"/>
      <c r="O50" s="714">
        <v>36.923999999999999</v>
      </c>
      <c r="P50" s="714">
        <v>16.983000000000001</v>
      </c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714"/>
      <c r="AB50" s="714"/>
      <c r="AC50" s="704"/>
      <c r="AD50" s="704"/>
      <c r="AE50" s="704"/>
      <c r="AF50" s="715"/>
      <c r="AG50" s="704"/>
      <c r="AH50" s="715"/>
      <c r="AI50" s="715"/>
      <c r="AJ50" s="716"/>
      <c r="AK50" s="704"/>
      <c r="AL50" s="717">
        <f t="shared" si="0"/>
        <v>19.940999999999999</v>
      </c>
      <c r="AM50" s="718">
        <v>2.5099999999999998</v>
      </c>
      <c r="AN50" s="718"/>
      <c r="AO50" s="718">
        <f t="shared" si="1"/>
        <v>68.397630000000007</v>
      </c>
      <c r="AP50" s="718">
        <f t="shared" si="2"/>
        <v>70.907630000000012</v>
      </c>
      <c r="AQ50" s="719">
        <v>3.6</v>
      </c>
      <c r="AR50" s="719">
        <v>3</v>
      </c>
      <c r="AS50" s="716">
        <v>28</v>
      </c>
      <c r="AT50" s="716">
        <v>0.6</v>
      </c>
      <c r="AU50" s="716">
        <v>28</v>
      </c>
      <c r="AV50" s="716">
        <f>(AT50*AU50)+((AT50*AU50)/12*7)</f>
        <v>26.6</v>
      </c>
      <c r="AW50" s="716">
        <f>(AR50*AS50)+(AR50*AS50)/12*7</f>
        <v>133</v>
      </c>
      <c r="AX50" s="716">
        <f t="shared" ref="AX50" si="28">AQ50*AS50</f>
        <v>100.8</v>
      </c>
      <c r="AY50" s="716">
        <f t="shared" ref="AY50" si="29">AX50-(AV50+AW50)</f>
        <v>-58.8</v>
      </c>
      <c r="AZ50" s="716">
        <v>200</v>
      </c>
      <c r="BA50" s="716">
        <v>65</v>
      </c>
      <c r="BB50" s="720">
        <v>10000</v>
      </c>
      <c r="BC50" s="716">
        <v>104</v>
      </c>
      <c r="BD50" s="716">
        <v>20</v>
      </c>
      <c r="BE50" s="716">
        <v>80</v>
      </c>
      <c r="BF50" s="716"/>
      <c r="BG50" s="716"/>
      <c r="BH50" s="716">
        <v>150</v>
      </c>
      <c r="BI50" s="716">
        <v>60</v>
      </c>
      <c r="BJ50" s="716"/>
      <c r="BK50" s="716"/>
      <c r="BL50" s="716"/>
      <c r="BM50" s="721"/>
      <c r="BN50" s="722">
        <f t="shared" si="6"/>
        <v>909.50763000000006</v>
      </c>
      <c r="BO50" s="723"/>
      <c r="BP50" s="723"/>
      <c r="BQ50" s="724"/>
      <c r="BR50" s="703">
        <f t="shared" si="7"/>
        <v>300</v>
      </c>
      <c r="BS50" s="703">
        <f t="shared" si="8"/>
        <v>202</v>
      </c>
    </row>
    <row r="51" spans="1:71" s="726" customFormat="1">
      <c r="A51" s="704" t="s">
        <v>40</v>
      </c>
      <c r="B51" s="705">
        <v>49</v>
      </c>
      <c r="C51" s="706"/>
      <c r="D51" s="707" t="s">
        <v>888</v>
      </c>
      <c r="E51" s="706" t="s">
        <v>889</v>
      </c>
      <c r="F51" s="708">
        <v>45108</v>
      </c>
      <c r="G51" s="707" t="s">
        <v>890</v>
      </c>
      <c r="H51" s="709">
        <v>70597</v>
      </c>
      <c r="I51" s="710" t="s">
        <v>323</v>
      </c>
      <c r="J51" s="711"/>
      <c r="K51" s="712" t="s">
        <v>891</v>
      </c>
      <c r="L51" s="706" t="s">
        <v>892</v>
      </c>
      <c r="M51" s="713">
        <v>35430</v>
      </c>
      <c r="N51" s="714" t="s">
        <v>396</v>
      </c>
      <c r="O51" s="714">
        <v>5.8479999999999999</v>
      </c>
      <c r="P51" s="714">
        <v>4.0250000000000004</v>
      </c>
      <c r="Q51" s="714">
        <v>0.19900000000000001</v>
      </c>
      <c r="R51" s="714">
        <v>0.19900000000000001</v>
      </c>
      <c r="S51" s="714">
        <v>87.162999999999997</v>
      </c>
      <c r="T51" s="714">
        <v>80.465000000000003</v>
      </c>
      <c r="U51" s="714">
        <v>79.658000000000001</v>
      </c>
      <c r="V51" s="714">
        <v>62.548999999999999</v>
      </c>
      <c r="W51" s="714">
        <v>36.979999999999997</v>
      </c>
      <c r="X51" s="714"/>
      <c r="Y51" s="714"/>
      <c r="Z51" s="714"/>
      <c r="AA51" s="714"/>
      <c r="AB51" s="714"/>
      <c r="AC51" s="704"/>
      <c r="AD51" s="704"/>
      <c r="AE51" s="704"/>
      <c r="AF51" s="715"/>
      <c r="AG51" s="704"/>
      <c r="AH51" s="715"/>
      <c r="AI51" s="715"/>
      <c r="AJ51" s="716"/>
      <c r="AK51" s="704"/>
      <c r="AL51" s="717">
        <f t="shared" si="0"/>
        <v>1.8229999999999995</v>
      </c>
      <c r="AM51" s="718">
        <v>2.5099999999999998</v>
      </c>
      <c r="AN51" s="718">
        <v>1.74</v>
      </c>
      <c r="AO51" s="718">
        <f t="shared" si="1"/>
        <v>6.2528899999999989</v>
      </c>
      <c r="AP51" s="718">
        <f t="shared" si="2"/>
        <v>10.502889999999999</v>
      </c>
      <c r="AQ51" s="719">
        <v>3.6</v>
      </c>
      <c r="AR51" s="719">
        <v>3</v>
      </c>
      <c r="AS51" s="716">
        <v>28</v>
      </c>
      <c r="AT51" s="716">
        <v>0.6</v>
      </c>
      <c r="AU51" s="716">
        <v>28</v>
      </c>
      <c r="AV51" s="716">
        <f>(AT51*AU51)</f>
        <v>16.8</v>
      </c>
      <c r="AW51" s="716">
        <f>(AR51*AS51)</f>
        <v>84</v>
      </c>
      <c r="AX51" s="716">
        <f t="shared" si="27"/>
        <v>100.8</v>
      </c>
      <c r="AY51" s="716">
        <f t="shared" si="11"/>
        <v>0</v>
      </c>
      <c r="AZ51" s="716">
        <v>100</v>
      </c>
      <c r="BA51" s="716"/>
      <c r="BB51" s="720">
        <v>8000</v>
      </c>
      <c r="BC51" s="716">
        <v>37.5</v>
      </c>
      <c r="BD51" s="716">
        <v>10</v>
      </c>
      <c r="BE51" s="716">
        <v>80</v>
      </c>
      <c r="BF51" s="716"/>
      <c r="BG51" s="716"/>
      <c r="BH51" s="716"/>
      <c r="BI51" s="716"/>
      <c r="BJ51" s="744"/>
      <c r="BK51" s="744"/>
      <c r="BL51" s="744"/>
      <c r="BM51" s="745"/>
      <c r="BN51" s="722">
        <f t="shared" si="6"/>
        <v>338.80288999999999</v>
      </c>
      <c r="BO51" s="708"/>
      <c r="BP51" s="708"/>
      <c r="BQ51" s="724"/>
      <c r="BR51" s="703">
        <f t="shared" si="7"/>
        <v>300</v>
      </c>
      <c r="BS51" s="703">
        <f t="shared" si="8"/>
        <v>203</v>
      </c>
    </row>
    <row r="52" spans="1:71">
      <c r="A52" s="704" t="s">
        <v>40</v>
      </c>
      <c r="B52" s="705">
        <v>50</v>
      </c>
      <c r="C52" s="706"/>
      <c r="D52" s="707" t="s">
        <v>1000</v>
      </c>
      <c r="E52" s="706" t="s">
        <v>1001</v>
      </c>
      <c r="F52" s="708">
        <v>45413</v>
      </c>
      <c r="G52" s="706" t="s">
        <v>1002</v>
      </c>
      <c r="H52" s="709">
        <v>70327</v>
      </c>
      <c r="I52" s="710" t="s">
        <v>323</v>
      </c>
      <c r="J52" s="733"/>
      <c r="K52" s="725" t="s">
        <v>1003</v>
      </c>
      <c r="L52" s="706" t="s">
        <v>1004</v>
      </c>
      <c r="M52" s="713">
        <v>34434</v>
      </c>
      <c r="N52" s="714"/>
      <c r="O52" s="714">
        <v>71.882999999999996</v>
      </c>
      <c r="P52" s="714">
        <v>70.022999999999996</v>
      </c>
      <c r="Q52" s="714"/>
      <c r="R52" s="714"/>
      <c r="S52" s="714"/>
      <c r="T52" s="714"/>
      <c r="U52" s="714"/>
      <c r="V52" s="714"/>
      <c r="W52" s="714"/>
      <c r="X52" s="714"/>
      <c r="Y52" s="714"/>
      <c r="Z52" s="714"/>
      <c r="AA52" s="714"/>
      <c r="AB52" s="714"/>
      <c r="AC52" s="704"/>
      <c r="AD52" s="704"/>
      <c r="AE52" s="704"/>
      <c r="AF52" s="715"/>
      <c r="AG52" s="704"/>
      <c r="AH52" s="715"/>
      <c r="AI52" s="715"/>
      <c r="AJ52" s="716"/>
      <c r="AK52" s="704"/>
      <c r="AL52" s="717">
        <f t="shared" si="0"/>
        <v>1.8599999999999994</v>
      </c>
      <c r="AM52" s="718">
        <v>2.5099999999999998</v>
      </c>
      <c r="AN52" s="718"/>
      <c r="AO52" s="718">
        <f t="shared" si="1"/>
        <v>6.3797999999999986</v>
      </c>
      <c r="AP52" s="718">
        <f t="shared" si="2"/>
        <v>8.8897999999999975</v>
      </c>
      <c r="AQ52" s="719">
        <v>4.0999999999999996</v>
      </c>
      <c r="AR52" s="719">
        <v>3.4999999999999996</v>
      </c>
      <c r="AS52" s="716">
        <v>28</v>
      </c>
      <c r="AT52" s="716">
        <v>0.6</v>
      </c>
      <c r="AU52" s="716">
        <v>28</v>
      </c>
      <c r="AV52" s="716">
        <f>(AT52*AU52)+((AT52*AU52)/12*7)</f>
        <v>26.6</v>
      </c>
      <c r="AW52" s="716">
        <f>(AR52*AS52)+(AR52*AS52)/12*7</f>
        <v>155.16666666666666</v>
      </c>
      <c r="AX52" s="716">
        <f>AQ52*AS52</f>
        <v>114.79999999999998</v>
      </c>
      <c r="AY52" s="716">
        <f>AX52-(AV52+AW52)</f>
        <v>-66.966666666666669</v>
      </c>
      <c r="AZ52" s="716">
        <v>200</v>
      </c>
      <c r="BA52" s="716">
        <v>65</v>
      </c>
      <c r="BB52" s="720">
        <v>10000</v>
      </c>
      <c r="BC52" s="716">
        <v>104</v>
      </c>
      <c r="BD52" s="716">
        <v>20</v>
      </c>
      <c r="BE52" s="716">
        <v>80</v>
      </c>
      <c r="BF52" s="716"/>
      <c r="BG52" s="716"/>
      <c r="BH52" s="716">
        <v>150</v>
      </c>
      <c r="BI52" s="716"/>
      <c r="BJ52" s="716"/>
      <c r="BK52" s="716"/>
      <c r="BL52" s="716"/>
      <c r="BM52" s="721"/>
      <c r="BN52" s="722">
        <f t="shared" si="6"/>
        <v>809.65646666666669</v>
      </c>
      <c r="BO52" s="723"/>
      <c r="BP52" s="723"/>
      <c r="BQ52" s="724"/>
      <c r="BR52" s="703">
        <f t="shared" si="7"/>
        <v>349.99999999999994</v>
      </c>
      <c r="BS52" s="703">
        <f t="shared" si="8"/>
        <v>204</v>
      </c>
    </row>
    <row r="53" spans="1:71" ht="15.75" customHeight="1">
      <c r="A53" s="704" t="s">
        <v>40</v>
      </c>
      <c r="B53" s="705">
        <v>51</v>
      </c>
      <c r="C53" s="706"/>
      <c r="D53" s="707" t="s">
        <v>397</v>
      </c>
      <c r="E53" s="706" t="s">
        <v>398</v>
      </c>
      <c r="F53" s="708">
        <v>44075</v>
      </c>
      <c r="G53" s="706" t="s">
        <v>399</v>
      </c>
      <c r="H53" s="709">
        <v>70376</v>
      </c>
      <c r="I53" s="710" t="s">
        <v>323</v>
      </c>
      <c r="J53" s="711"/>
      <c r="K53" s="725" t="s">
        <v>400</v>
      </c>
      <c r="L53" s="706" t="s">
        <v>401</v>
      </c>
      <c r="M53" s="713">
        <v>31278</v>
      </c>
      <c r="N53" s="714" t="s">
        <v>402</v>
      </c>
      <c r="O53" s="714">
        <v>57.097000000000001</v>
      </c>
      <c r="P53" s="714">
        <v>43.383000000000003</v>
      </c>
      <c r="Q53" s="714">
        <v>26.678000000000001</v>
      </c>
      <c r="R53" s="714">
        <v>0.25</v>
      </c>
      <c r="S53" s="714">
        <v>20.027000000000001</v>
      </c>
      <c r="T53" s="714">
        <v>12.272</v>
      </c>
      <c r="U53" s="714">
        <v>10.555</v>
      </c>
      <c r="V53" s="714">
        <v>8.9570000000000007</v>
      </c>
      <c r="W53" s="714">
        <v>7.3140000000000001</v>
      </c>
      <c r="X53" s="714">
        <v>4.9960000000000004</v>
      </c>
      <c r="Y53" s="714">
        <v>3.23</v>
      </c>
      <c r="Z53" s="714">
        <v>0.05</v>
      </c>
      <c r="AA53" s="714">
        <v>6.47</v>
      </c>
      <c r="AB53" s="714">
        <v>5.88</v>
      </c>
      <c r="AC53" s="704">
        <v>4.7759999999999998</v>
      </c>
      <c r="AD53" s="704">
        <v>3.97</v>
      </c>
      <c r="AE53" s="704">
        <v>3.1819999999999999</v>
      </c>
      <c r="AF53" s="715">
        <v>1.8779999999999999</v>
      </c>
      <c r="AG53" s="704"/>
      <c r="AH53" s="715"/>
      <c r="AI53" s="715"/>
      <c r="AJ53" s="716"/>
      <c r="AK53" s="704"/>
      <c r="AL53" s="717">
        <f t="shared" si="0"/>
        <v>13.713999999999999</v>
      </c>
      <c r="AM53" s="718">
        <v>2.5099999999999998</v>
      </c>
      <c r="AN53" s="718">
        <v>1.74</v>
      </c>
      <c r="AO53" s="718">
        <f t="shared" si="1"/>
        <v>47.039020000000001</v>
      </c>
      <c r="AP53" s="718">
        <f t="shared" si="2"/>
        <v>51.289020000000001</v>
      </c>
      <c r="AQ53" s="719">
        <v>4.5999999999999996</v>
      </c>
      <c r="AR53" s="719">
        <v>3.9999999999999996</v>
      </c>
      <c r="AS53" s="716">
        <v>28</v>
      </c>
      <c r="AT53" s="716">
        <v>0.6</v>
      </c>
      <c r="AU53" s="716">
        <v>28</v>
      </c>
      <c r="AV53" s="716">
        <f t="shared" si="3"/>
        <v>16.8</v>
      </c>
      <c r="AW53" s="716">
        <f t="shared" si="4"/>
        <v>111.99999999999999</v>
      </c>
      <c r="AX53" s="716">
        <f t="shared" ref="AX53:AX57" si="30">AQ53*AS53</f>
        <v>128.79999999999998</v>
      </c>
      <c r="AY53" s="716">
        <f t="shared" si="11"/>
        <v>0</v>
      </c>
      <c r="AZ53" s="716">
        <v>100</v>
      </c>
      <c r="BA53" s="716">
        <v>32.5</v>
      </c>
      <c r="BB53" s="720">
        <v>10000</v>
      </c>
      <c r="BC53" s="716">
        <v>52</v>
      </c>
      <c r="BD53" s="716">
        <v>10</v>
      </c>
      <c r="BE53" s="716">
        <v>80</v>
      </c>
      <c r="BF53" s="716"/>
      <c r="BG53" s="716"/>
      <c r="BH53" s="716"/>
      <c r="BI53" s="716"/>
      <c r="BJ53" s="716"/>
      <c r="BK53" s="716"/>
      <c r="BL53" s="716"/>
      <c r="BM53" s="721"/>
      <c r="BN53" s="722">
        <f t="shared" si="6"/>
        <v>454.58902</v>
      </c>
      <c r="BO53" s="723"/>
      <c r="BP53" s="723"/>
      <c r="BQ53" s="724"/>
      <c r="BR53" s="703">
        <f t="shared" si="7"/>
        <v>399.99999999999994</v>
      </c>
      <c r="BS53" s="703">
        <f t="shared" si="8"/>
        <v>205</v>
      </c>
    </row>
    <row r="54" spans="1:71">
      <c r="A54" s="704" t="s">
        <v>40</v>
      </c>
      <c r="B54" s="705">
        <v>52</v>
      </c>
      <c r="C54" s="706"/>
      <c r="D54" s="706" t="s">
        <v>250</v>
      </c>
      <c r="E54" s="706" t="s">
        <v>178</v>
      </c>
      <c r="F54" s="708">
        <v>43070</v>
      </c>
      <c r="G54" s="706" t="s">
        <v>693</v>
      </c>
      <c r="H54" s="709">
        <v>70619</v>
      </c>
      <c r="I54" s="710" t="s">
        <v>323</v>
      </c>
      <c r="J54" s="733">
        <v>90759203</v>
      </c>
      <c r="K54" s="712" t="s">
        <v>403</v>
      </c>
      <c r="L54" s="706" t="s">
        <v>404</v>
      </c>
      <c r="M54" s="713">
        <v>30323</v>
      </c>
      <c r="N54" s="714"/>
      <c r="O54" s="714">
        <v>6.4749999999999996</v>
      </c>
      <c r="P54" s="714">
        <v>6.2409999999999997</v>
      </c>
      <c r="Q54" s="714">
        <v>4.6509999999999998</v>
      </c>
      <c r="R54" s="714">
        <v>0.25</v>
      </c>
      <c r="S54" s="714">
        <v>35.293999999999997</v>
      </c>
      <c r="T54" s="714">
        <v>33.08</v>
      </c>
      <c r="U54" s="714">
        <v>31.71</v>
      </c>
      <c r="V54" s="714">
        <v>30.626000000000001</v>
      </c>
      <c r="W54" s="714">
        <v>28.05</v>
      </c>
      <c r="X54" s="714"/>
      <c r="Y54" s="714"/>
      <c r="Z54" s="714"/>
      <c r="AA54" s="714"/>
      <c r="AB54" s="714"/>
      <c r="AC54" s="704"/>
      <c r="AD54" s="704"/>
      <c r="AE54" s="704"/>
      <c r="AF54" s="715"/>
      <c r="AG54" s="704"/>
      <c r="AH54" s="715"/>
      <c r="AI54" s="715"/>
      <c r="AJ54" s="716"/>
      <c r="AK54" s="704"/>
      <c r="AL54" s="717">
        <f t="shared" si="0"/>
        <v>0.23399999999999999</v>
      </c>
      <c r="AM54" s="718">
        <v>2.5099999999999998</v>
      </c>
      <c r="AN54" s="718">
        <v>1.74</v>
      </c>
      <c r="AO54" s="718">
        <f t="shared" si="1"/>
        <v>0.80262</v>
      </c>
      <c r="AP54" s="718">
        <f t="shared" si="2"/>
        <v>5.0526200000000001</v>
      </c>
      <c r="AQ54" s="719">
        <v>4.5999999999999996</v>
      </c>
      <c r="AR54" s="719">
        <v>3.9999999999999996</v>
      </c>
      <c r="AS54" s="716">
        <v>28</v>
      </c>
      <c r="AT54" s="716">
        <v>0.6</v>
      </c>
      <c r="AU54" s="716">
        <v>28</v>
      </c>
      <c r="AV54" s="716">
        <f t="shared" si="3"/>
        <v>16.8</v>
      </c>
      <c r="AW54" s="716">
        <f t="shared" si="4"/>
        <v>111.99999999999999</v>
      </c>
      <c r="AX54" s="716">
        <f t="shared" si="30"/>
        <v>128.79999999999998</v>
      </c>
      <c r="AY54" s="716">
        <f t="shared" si="11"/>
        <v>0</v>
      </c>
      <c r="AZ54" s="716">
        <v>100</v>
      </c>
      <c r="BA54" s="716"/>
      <c r="BB54" s="720">
        <v>10000</v>
      </c>
      <c r="BC54" s="716">
        <v>52</v>
      </c>
      <c r="BD54" s="716">
        <v>10</v>
      </c>
      <c r="BE54" s="716">
        <v>80</v>
      </c>
      <c r="BF54" s="716"/>
      <c r="BG54" s="716"/>
      <c r="BH54" s="716"/>
      <c r="BI54" s="716"/>
      <c r="BJ54" s="716"/>
      <c r="BK54" s="716"/>
      <c r="BL54" s="716"/>
      <c r="BM54" s="721">
        <v>120</v>
      </c>
      <c r="BN54" s="722">
        <f t="shared" si="6"/>
        <v>495.85262</v>
      </c>
      <c r="BO54" s="723"/>
      <c r="BP54" s="723"/>
      <c r="BQ54" s="724"/>
      <c r="BR54" s="703">
        <f t="shared" si="7"/>
        <v>399.99999999999994</v>
      </c>
      <c r="BS54" s="703">
        <f t="shared" si="8"/>
        <v>206</v>
      </c>
    </row>
    <row r="55" spans="1:71" s="726" customFormat="1">
      <c r="A55" s="704" t="s">
        <v>40</v>
      </c>
      <c r="B55" s="705">
        <v>53</v>
      </c>
      <c r="C55" s="706"/>
      <c r="D55" s="707" t="s">
        <v>264</v>
      </c>
      <c r="E55" s="706" t="s">
        <v>265</v>
      </c>
      <c r="F55" s="708">
        <v>43435</v>
      </c>
      <c r="G55" s="706" t="s">
        <v>405</v>
      </c>
      <c r="H55" s="709">
        <v>70619</v>
      </c>
      <c r="I55" s="710" t="s">
        <v>323</v>
      </c>
      <c r="J55" s="707"/>
      <c r="K55" s="712" t="s">
        <v>406</v>
      </c>
      <c r="L55" s="706" t="s">
        <v>407</v>
      </c>
      <c r="M55" s="713">
        <v>24602</v>
      </c>
      <c r="N55" s="714"/>
      <c r="O55" s="714">
        <v>5.1020000000000003</v>
      </c>
      <c r="P55" s="714">
        <v>3.3180000000000001</v>
      </c>
      <c r="Q55" s="714">
        <v>1.665</v>
      </c>
      <c r="R55" s="714">
        <v>0.25</v>
      </c>
      <c r="S55" s="714">
        <v>25.9</v>
      </c>
      <c r="T55" s="714">
        <v>25.853999999999999</v>
      </c>
      <c r="U55" s="714">
        <v>23.036000000000001</v>
      </c>
      <c r="V55" s="714">
        <v>20.741</v>
      </c>
      <c r="W55" s="714">
        <v>10.712</v>
      </c>
      <c r="X55" s="714">
        <v>5.1689999999999996</v>
      </c>
      <c r="Y55" s="714">
        <v>2.08</v>
      </c>
      <c r="Z55" s="714">
        <v>0.05</v>
      </c>
      <c r="AA55" s="714">
        <v>31.414999999999999</v>
      </c>
      <c r="AB55" s="714">
        <v>14.03</v>
      </c>
      <c r="AC55" s="704">
        <v>13.394</v>
      </c>
      <c r="AD55" s="704">
        <v>12.920999999999999</v>
      </c>
      <c r="AE55" s="704">
        <v>10.329000000000001</v>
      </c>
      <c r="AF55" s="715">
        <v>10.039999999999999</v>
      </c>
      <c r="AG55" s="704"/>
      <c r="AH55" s="715"/>
      <c r="AI55" s="715"/>
      <c r="AJ55" s="716"/>
      <c r="AK55" s="704"/>
      <c r="AL55" s="717">
        <f t="shared" ref="AL55:AL109" si="31" xml:space="preserve"> O55-P55</f>
        <v>1.7840000000000003</v>
      </c>
      <c r="AM55" s="718">
        <v>2.5099999999999998</v>
      </c>
      <c r="AN55" s="718">
        <v>1.74</v>
      </c>
      <c r="AO55" s="718">
        <f t="shared" si="1"/>
        <v>6.1191200000000014</v>
      </c>
      <c r="AP55" s="718">
        <f t="shared" si="2"/>
        <v>10.369120000000002</v>
      </c>
      <c r="AQ55" s="719">
        <v>4.0999999999999996</v>
      </c>
      <c r="AR55" s="719">
        <v>3.4999999999999996</v>
      </c>
      <c r="AS55" s="716">
        <v>28</v>
      </c>
      <c r="AT55" s="716">
        <v>0.6</v>
      </c>
      <c r="AU55" s="716">
        <v>28</v>
      </c>
      <c r="AV55" s="716">
        <f t="shared" si="3"/>
        <v>16.8</v>
      </c>
      <c r="AW55" s="716">
        <f t="shared" si="4"/>
        <v>97.999999999999986</v>
      </c>
      <c r="AX55" s="716">
        <f t="shared" si="30"/>
        <v>114.79999999999998</v>
      </c>
      <c r="AY55" s="716">
        <f t="shared" si="11"/>
        <v>0</v>
      </c>
      <c r="AZ55" s="716">
        <v>100</v>
      </c>
      <c r="BA55" s="716"/>
      <c r="BB55" s="720">
        <v>5000</v>
      </c>
      <c r="BC55" s="716">
        <v>25</v>
      </c>
      <c r="BD55" s="716">
        <v>10</v>
      </c>
      <c r="BE55" s="716">
        <v>80</v>
      </c>
      <c r="BF55" s="716"/>
      <c r="BG55" s="716"/>
      <c r="BH55" s="716"/>
      <c r="BI55" s="716"/>
      <c r="BJ55" s="744"/>
      <c r="BK55" s="744"/>
      <c r="BL55" s="744"/>
      <c r="BM55" s="745"/>
      <c r="BN55" s="722">
        <f t="shared" si="6"/>
        <v>340.16911999999996</v>
      </c>
      <c r="BO55" s="708"/>
      <c r="BP55" s="708"/>
      <c r="BQ55" s="724"/>
      <c r="BR55" s="703">
        <f t="shared" si="7"/>
        <v>349.99999999999994</v>
      </c>
      <c r="BS55" s="703">
        <f t="shared" si="8"/>
        <v>207</v>
      </c>
    </row>
    <row r="56" spans="1:71" s="726" customFormat="1">
      <c r="A56" s="704" t="s">
        <v>40</v>
      </c>
      <c r="B56" s="705">
        <v>54</v>
      </c>
      <c r="C56" s="706"/>
      <c r="D56" s="707" t="s">
        <v>85</v>
      </c>
      <c r="E56" s="706" t="s">
        <v>72</v>
      </c>
      <c r="F56" s="708">
        <v>31871</v>
      </c>
      <c r="G56" s="706" t="s">
        <v>408</v>
      </c>
      <c r="H56" s="709">
        <v>70190</v>
      </c>
      <c r="I56" s="710" t="s">
        <v>323</v>
      </c>
      <c r="J56" s="711" t="s">
        <v>409</v>
      </c>
      <c r="K56" s="725" t="s">
        <v>893</v>
      </c>
      <c r="L56" s="706" t="s">
        <v>410</v>
      </c>
      <c r="M56" s="713">
        <v>24205</v>
      </c>
      <c r="N56" s="714"/>
      <c r="O56" s="714">
        <v>24.257999999999999</v>
      </c>
      <c r="P56" s="714">
        <v>19.27</v>
      </c>
      <c r="Q56" s="714">
        <v>9.31</v>
      </c>
      <c r="R56" s="714">
        <v>0.25</v>
      </c>
      <c r="S56" s="714">
        <v>52.872999999999998</v>
      </c>
      <c r="T56" s="714">
        <v>50.488999999999997</v>
      </c>
      <c r="U56" s="749">
        <v>31.71</v>
      </c>
      <c r="V56" s="749">
        <v>24.893999999999998</v>
      </c>
      <c r="W56" s="749">
        <v>20.187000000000001</v>
      </c>
      <c r="X56" s="749">
        <v>17.882999999999999</v>
      </c>
      <c r="Y56" s="749">
        <v>5.98</v>
      </c>
      <c r="Z56" s="749">
        <v>0.05</v>
      </c>
      <c r="AA56" s="749">
        <v>21.481999999999999</v>
      </c>
      <c r="AB56" s="714">
        <v>18.489999999999998</v>
      </c>
      <c r="AC56" s="704">
        <v>15.481999999999999</v>
      </c>
      <c r="AD56" s="704">
        <v>12.743</v>
      </c>
      <c r="AE56" s="704">
        <v>8.8390000000000004</v>
      </c>
      <c r="AF56" s="715">
        <v>2.145</v>
      </c>
      <c r="AG56" s="704"/>
      <c r="AH56" s="715"/>
      <c r="AI56" s="715"/>
      <c r="AJ56" s="716"/>
      <c r="AK56" s="704"/>
      <c r="AL56" s="717">
        <f t="shared" si="31"/>
        <v>4.9879999999999995</v>
      </c>
      <c r="AM56" s="718">
        <v>2.5099999999999998</v>
      </c>
      <c r="AN56" s="718">
        <v>1.74</v>
      </c>
      <c r="AO56" s="718">
        <f t="shared" si="1"/>
        <v>17.108840000000001</v>
      </c>
      <c r="AP56" s="718">
        <f t="shared" si="2"/>
        <v>21.358840000000001</v>
      </c>
      <c r="AQ56" s="719">
        <v>5.0999999999999996</v>
      </c>
      <c r="AR56" s="719">
        <v>4.5</v>
      </c>
      <c r="AS56" s="716">
        <v>28</v>
      </c>
      <c r="AT56" s="716">
        <v>0.6</v>
      </c>
      <c r="AU56" s="716">
        <v>28</v>
      </c>
      <c r="AV56" s="716">
        <f t="shared" si="3"/>
        <v>16.8</v>
      </c>
      <c r="AW56" s="716">
        <f t="shared" si="4"/>
        <v>126</v>
      </c>
      <c r="AX56" s="716">
        <f t="shared" si="30"/>
        <v>142.79999999999998</v>
      </c>
      <c r="AY56" s="716">
        <f t="shared" si="11"/>
        <v>0</v>
      </c>
      <c r="AZ56" s="716">
        <v>100</v>
      </c>
      <c r="BA56" s="716"/>
      <c r="BB56" s="720"/>
      <c r="BC56" s="716"/>
      <c r="BD56" s="716">
        <v>10</v>
      </c>
      <c r="BE56" s="716">
        <v>80</v>
      </c>
      <c r="BF56" s="716"/>
      <c r="BG56" s="716"/>
      <c r="BH56" s="716"/>
      <c r="BI56" s="716"/>
      <c r="BJ56" s="745"/>
      <c r="BK56" s="745"/>
      <c r="BL56" s="745"/>
      <c r="BM56" s="745"/>
      <c r="BN56" s="722">
        <f t="shared" si="6"/>
        <v>354.15884</v>
      </c>
      <c r="BO56" s="708"/>
      <c r="BP56" s="708"/>
      <c r="BQ56" s="724"/>
      <c r="BR56" s="703">
        <f t="shared" si="7"/>
        <v>450</v>
      </c>
      <c r="BS56" s="703">
        <f t="shared" si="8"/>
        <v>208</v>
      </c>
    </row>
    <row r="57" spans="1:71" s="726" customFormat="1">
      <c r="A57" s="704" t="s">
        <v>40</v>
      </c>
      <c r="B57" s="705">
        <v>55</v>
      </c>
      <c r="C57" s="706"/>
      <c r="D57" s="707" t="s">
        <v>86</v>
      </c>
      <c r="E57" s="706" t="s">
        <v>266</v>
      </c>
      <c r="F57" s="708"/>
      <c r="G57" s="706" t="s">
        <v>411</v>
      </c>
      <c r="H57" s="709">
        <v>70619</v>
      </c>
      <c r="I57" s="710" t="s">
        <v>323</v>
      </c>
      <c r="J57" s="711">
        <v>4112494</v>
      </c>
      <c r="K57" s="725"/>
      <c r="L57" s="706" t="s">
        <v>412</v>
      </c>
      <c r="M57" s="713"/>
      <c r="N57" s="714"/>
      <c r="O57" s="714">
        <v>10.959</v>
      </c>
      <c r="P57" s="714">
        <v>9.0510000000000002</v>
      </c>
      <c r="Q57" s="714">
        <v>3.1840000000000002</v>
      </c>
      <c r="R57" s="714">
        <v>0.25</v>
      </c>
      <c r="S57" s="714">
        <v>61.069000000000003</v>
      </c>
      <c r="T57" s="714">
        <v>60.052999999999997</v>
      </c>
      <c r="U57" s="749">
        <v>53.642000000000003</v>
      </c>
      <c r="V57" s="749">
        <v>52.982999999999997</v>
      </c>
      <c r="W57" s="749">
        <v>51.820999999999998</v>
      </c>
      <c r="X57" s="749">
        <v>49.52</v>
      </c>
      <c r="Y57" s="749">
        <v>3.97</v>
      </c>
      <c r="Z57" s="749">
        <v>0.05</v>
      </c>
      <c r="AA57" s="749">
        <v>0.28299999999999997</v>
      </c>
      <c r="AB57" s="714">
        <v>15.1</v>
      </c>
      <c r="AC57" s="704">
        <v>12.465</v>
      </c>
      <c r="AD57" s="704">
        <v>10.53</v>
      </c>
      <c r="AE57" s="704">
        <v>9.0779999999999994</v>
      </c>
      <c r="AF57" s="715">
        <v>4.4249999999999998</v>
      </c>
      <c r="AG57" s="704"/>
      <c r="AH57" s="715"/>
      <c r="AI57" s="715"/>
      <c r="AJ57" s="716"/>
      <c r="AK57" s="704"/>
      <c r="AL57" s="717">
        <f t="shared" si="31"/>
        <v>1.9079999999999995</v>
      </c>
      <c r="AM57" s="718">
        <v>2.5099999999999998</v>
      </c>
      <c r="AN57" s="718">
        <v>1.74</v>
      </c>
      <c r="AO57" s="718">
        <f t="shared" si="1"/>
        <v>6.5444399999999989</v>
      </c>
      <c r="AP57" s="718">
        <f t="shared" si="2"/>
        <v>10.794439999999998</v>
      </c>
      <c r="AQ57" s="719">
        <v>4.5999999999999996</v>
      </c>
      <c r="AR57" s="719">
        <v>3.9999999999999996</v>
      </c>
      <c r="AS57" s="716">
        <v>28</v>
      </c>
      <c r="AT57" s="716">
        <v>0.6</v>
      </c>
      <c r="AU57" s="716">
        <v>28</v>
      </c>
      <c r="AV57" s="716">
        <f t="shared" si="3"/>
        <v>16.8</v>
      </c>
      <c r="AW57" s="716">
        <f t="shared" si="4"/>
        <v>111.99999999999999</v>
      </c>
      <c r="AX57" s="716">
        <f t="shared" si="30"/>
        <v>128.79999999999998</v>
      </c>
      <c r="AY57" s="716">
        <f t="shared" si="11"/>
        <v>0</v>
      </c>
      <c r="AZ57" s="716">
        <v>100</v>
      </c>
      <c r="BA57" s="716"/>
      <c r="BB57" s="720">
        <v>5000</v>
      </c>
      <c r="BC57" s="716">
        <v>25</v>
      </c>
      <c r="BD57" s="716">
        <v>10</v>
      </c>
      <c r="BE57" s="716">
        <v>80</v>
      </c>
      <c r="BF57" s="716"/>
      <c r="BG57" s="716"/>
      <c r="BH57" s="716"/>
      <c r="BI57" s="716"/>
      <c r="BJ57" s="745"/>
      <c r="BK57" s="745"/>
      <c r="BL57" s="745"/>
      <c r="BM57" s="745"/>
      <c r="BN57" s="722">
        <f t="shared" si="6"/>
        <v>354.59443999999996</v>
      </c>
      <c r="BO57" s="708"/>
      <c r="BP57" s="708"/>
      <c r="BQ57" s="724"/>
      <c r="BR57" s="703">
        <f t="shared" si="7"/>
        <v>399.99999999999994</v>
      </c>
      <c r="BS57" s="703">
        <f t="shared" si="8"/>
        <v>209</v>
      </c>
    </row>
    <row r="58" spans="1:71">
      <c r="A58" s="704" t="s">
        <v>40</v>
      </c>
      <c r="B58" s="705">
        <v>56</v>
      </c>
      <c r="C58" s="704"/>
      <c r="D58" s="707" t="s">
        <v>894</v>
      </c>
      <c r="E58" s="706" t="s">
        <v>895</v>
      </c>
      <c r="F58" s="708">
        <v>45017</v>
      </c>
      <c r="G58" s="706" t="s">
        <v>896</v>
      </c>
      <c r="H58" s="709">
        <v>70619</v>
      </c>
      <c r="I58" s="710" t="s">
        <v>323</v>
      </c>
      <c r="J58" s="711"/>
      <c r="K58" s="725" t="s">
        <v>897</v>
      </c>
      <c r="L58" s="706" t="s">
        <v>898</v>
      </c>
      <c r="M58" s="708">
        <v>33210</v>
      </c>
      <c r="N58" s="714" t="s">
        <v>780</v>
      </c>
      <c r="O58" s="714">
        <v>18.768000000000001</v>
      </c>
      <c r="P58" s="714">
        <v>9.3580000000000005</v>
      </c>
      <c r="Q58" s="714">
        <v>0.40300000000000002</v>
      </c>
      <c r="R58" s="714">
        <v>0.25</v>
      </c>
      <c r="S58" s="714">
        <v>0.45</v>
      </c>
      <c r="T58" s="714">
        <v>0.44900000000000001</v>
      </c>
      <c r="U58" s="714">
        <v>0.44900000000000001</v>
      </c>
      <c r="V58" s="714">
        <v>4.9000000000000002E-2</v>
      </c>
      <c r="W58" s="714">
        <v>0.05</v>
      </c>
      <c r="X58" s="714">
        <v>0.05</v>
      </c>
      <c r="Y58" s="714">
        <v>0.04</v>
      </c>
      <c r="Z58" s="714">
        <v>5.0000000000000001E-3</v>
      </c>
      <c r="AA58" s="714">
        <v>4.7489999999999997</v>
      </c>
      <c r="AB58" s="714">
        <v>4.7069999999999999</v>
      </c>
      <c r="AC58" s="704">
        <v>4.702</v>
      </c>
      <c r="AD58" s="704">
        <v>4.6719999999999997</v>
      </c>
      <c r="AE58" s="704">
        <v>4.0069999999999997</v>
      </c>
      <c r="AF58" s="715">
        <v>3.222</v>
      </c>
      <c r="AG58" s="704"/>
      <c r="AH58" s="715"/>
      <c r="AI58" s="715"/>
      <c r="AJ58" s="716"/>
      <c r="AK58" s="704"/>
      <c r="AL58" s="717">
        <f t="shared" si="31"/>
        <v>9.41</v>
      </c>
      <c r="AM58" s="718">
        <v>2.5099999999999998</v>
      </c>
      <c r="AN58" s="718">
        <v>1.74</v>
      </c>
      <c r="AO58" s="718">
        <f t="shared" ref="AO58:AO73" si="32">3.43*AL58</f>
        <v>32.276299999999999</v>
      </c>
      <c r="AP58" s="718">
        <f t="shared" ref="AP58:AP113" si="33">AM58+AN58+AO58</f>
        <v>36.526299999999999</v>
      </c>
      <c r="AQ58" s="719">
        <v>4.5999999999999996</v>
      </c>
      <c r="AR58" s="719">
        <v>3.9999999999999996</v>
      </c>
      <c r="AS58" s="716">
        <v>28</v>
      </c>
      <c r="AT58" s="716">
        <v>0.6</v>
      </c>
      <c r="AU58" s="716">
        <v>28</v>
      </c>
      <c r="AV58" s="716">
        <f t="shared" si="3"/>
        <v>16.8</v>
      </c>
      <c r="AW58" s="716">
        <f t="shared" si="4"/>
        <v>111.99999999999999</v>
      </c>
      <c r="AX58" s="716">
        <f>AQ58*AS58</f>
        <v>128.79999999999998</v>
      </c>
      <c r="AY58" s="716">
        <f t="shared" si="11"/>
        <v>0</v>
      </c>
      <c r="AZ58" s="716">
        <v>100</v>
      </c>
      <c r="BA58" s="716"/>
      <c r="BB58" s="720">
        <v>10000</v>
      </c>
      <c r="BC58" s="716">
        <v>52</v>
      </c>
      <c r="BD58" s="716">
        <v>10</v>
      </c>
      <c r="BE58" s="716">
        <v>80</v>
      </c>
      <c r="BF58" s="716"/>
      <c r="BG58" s="716"/>
      <c r="BH58" s="716"/>
      <c r="BI58" s="716"/>
      <c r="BJ58" s="716"/>
      <c r="BK58" s="716"/>
      <c r="BL58" s="716"/>
      <c r="BM58" s="721"/>
      <c r="BN58" s="722">
        <f t="shared" ref="BN58:BN113" si="34">AP58+AW58+AV58+AZ58+BA58+BC58+BD58+BE58+BF58+BG58+BH58+BI58+BJ58+BM58+BL58</f>
        <v>407.3263</v>
      </c>
      <c r="BO58" s="723"/>
      <c r="BP58" s="723"/>
      <c r="BQ58" s="724"/>
      <c r="BR58" s="703">
        <f t="shared" si="7"/>
        <v>399.99999999999994</v>
      </c>
      <c r="BS58" s="703">
        <f t="shared" si="8"/>
        <v>210</v>
      </c>
    </row>
    <row r="59" spans="1:71" s="726" customFormat="1">
      <c r="A59" s="704" t="s">
        <v>40</v>
      </c>
      <c r="B59" s="705">
        <v>57</v>
      </c>
      <c r="C59" s="706"/>
      <c r="D59" s="707" t="s">
        <v>1005</v>
      </c>
      <c r="E59" s="706"/>
      <c r="F59" s="708"/>
      <c r="G59" s="706"/>
      <c r="H59" s="709"/>
      <c r="I59" s="710"/>
      <c r="J59" s="712"/>
      <c r="K59" s="725"/>
      <c r="L59" s="706"/>
      <c r="M59" s="713"/>
      <c r="N59" s="714"/>
      <c r="O59" s="714">
        <v>0.58499999999999996</v>
      </c>
      <c r="P59" s="714">
        <v>0.16700000000000001</v>
      </c>
      <c r="Q59" s="714"/>
      <c r="R59" s="714"/>
      <c r="S59" s="714"/>
      <c r="T59" s="714"/>
      <c r="U59" s="714"/>
      <c r="V59" s="714"/>
      <c r="W59" s="714"/>
      <c r="X59" s="714"/>
      <c r="Y59" s="714"/>
      <c r="Z59" s="714"/>
      <c r="AA59" s="714"/>
      <c r="AB59" s="714"/>
      <c r="AC59" s="704"/>
      <c r="AD59" s="704"/>
      <c r="AE59" s="704"/>
      <c r="AF59" s="715"/>
      <c r="AG59" s="704"/>
      <c r="AH59" s="715"/>
      <c r="AI59" s="715"/>
      <c r="AJ59" s="716"/>
      <c r="AK59" s="704"/>
      <c r="AL59" s="717">
        <f t="shared" si="31"/>
        <v>0.41799999999999993</v>
      </c>
      <c r="AM59" s="718">
        <v>2.5099999999999998</v>
      </c>
      <c r="AN59" s="718">
        <v>1.74</v>
      </c>
      <c r="AO59" s="718">
        <f t="shared" si="32"/>
        <v>1.4337399999999998</v>
      </c>
      <c r="AP59" s="718">
        <f t="shared" si="33"/>
        <v>5.6837400000000002</v>
      </c>
      <c r="AQ59" s="719">
        <v>4.0999999999999996</v>
      </c>
      <c r="AR59" s="719">
        <v>3.4999999999999996</v>
      </c>
      <c r="AS59" s="716">
        <v>28</v>
      </c>
      <c r="AT59" s="716">
        <v>0.6</v>
      </c>
      <c r="AU59" s="716">
        <v>28</v>
      </c>
      <c r="AV59" s="716">
        <f>AT59*AU59</f>
        <v>16.8</v>
      </c>
      <c r="AW59" s="716">
        <f>AR59*AS59</f>
        <v>97.999999999999986</v>
      </c>
      <c r="AX59" s="716">
        <f>AQ59*AS59</f>
        <v>114.79999999999998</v>
      </c>
      <c r="AY59" s="716">
        <f>AX59-(AV59+AW59)</f>
        <v>0</v>
      </c>
      <c r="AZ59" s="716">
        <v>200</v>
      </c>
      <c r="BA59" s="716"/>
      <c r="BB59" s="720">
        <v>5000</v>
      </c>
      <c r="BC59" s="716">
        <v>50</v>
      </c>
      <c r="BD59" s="716">
        <v>20</v>
      </c>
      <c r="BE59" s="716">
        <v>80</v>
      </c>
      <c r="BF59" s="716"/>
      <c r="BG59" s="716"/>
      <c r="BH59" s="716">
        <v>150</v>
      </c>
      <c r="BI59" s="716">
        <v>60</v>
      </c>
      <c r="BJ59" s="744"/>
      <c r="BK59" s="744"/>
      <c r="BL59" s="744"/>
      <c r="BM59" s="745"/>
      <c r="BN59" s="722">
        <f t="shared" si="34"/>
        <v>680.48374000000001</v>
      </c>
      <c r="BO59" s="708"/>
      <c r="BP59" s="708"/>
      <c r="BQ59" s="724"/>
      <c r="BR59" s="703">
        <f t="shared" si="7"/>
        <v>349.99999999999994</v>
      </c>
      <c r="BS59" s="703">
        <f t="shared" si="8"/>
        <v>211</v>
      </c>
    </row>
    <row r="60" spans="1:71" s="726" customFormat="1">
      <c r="A60" s="704" t="s">
        <v>40</v>
      </c>
      <c r="B60" s="705">
        <v>58</v>
      </c>
      <c r="C60" s="706"/>
      <c r="D60" s="707" t="s">
        <v>413</v>
      </c>
      <c r="E60" s="706" t="s">
        <v>414</v>
      </c>
      <c r="F60" s="708">
        <v>43922</v>
      </c>
      <c r="G60" s="706" t="s">
        <v>415</v>
      </c>
      <c r="H60" s="709">
        <v>70619</v>
      </c>
      <c r="I60" s="710" t="s">
        <v>323</v>
      </c>
      <c r="J60" s="712"/>
      <c r="K60" s="725" t="s">
        <v>416</v>
      </c>
      <c r="L60" s="706" t="s">
        <v>417</v>
      </c>
      <c r="M60" s="713">
        <v>25446</v>
      </c>
      <c r="N60" s="714" t="s">
        <v>418</v>
      </c>
      <c r="O60" s="714">
        <v>112.163</v>
      </c>
      <c r="P60" s="714">
        <v>92.159000000000006</v>
      </c>
      <c r="Q60" s="714">
        <v>43.003999999999998</v>
      </c>
      <c r="R60" s="714">
        <v>0.25</v>
      </c>
      <c r="S60" s="714">
        <v>77.766000000000005</v>
      </c>
      <c r="T60" s="714">
        <v>62.545999999999999</v>
      </c>
      <c r="U60" s="714">
        <v>8.36</v>
      </c>
      <c r="V60" s="714">
        <v>8.3650000000000002</v>
      </c>
      <c r="W60" s="714">
        <v>5.12</v>
      </c>
      <c r="X60" s="714"/>
      <c r="Y60" s="714"/>
      <c r="Z60" s="714"/>
      <c r="AA60" s="714"/>
      <c r="AB60" s="714"/>
      <c r="AC60" s="704"/>
      <c r="AD60" s="704"/>
      <c r="AE60" s="704"/>
      <c r="AF60" s="715"/>
      <c r="AG60" s="704"/>
      <c r="AH60" s="715"/>
      <c r="AI60" s="715"/>
      <c r="AJ60" s="716"/>
      <c r="AK60" s="704"/>
      <c r="AL60" s="717">
        <f t="shared" si="31"/>
        <v>20.003999999999991</v>
      </c>
      <c r="AM60" s="718">
        <v>2.5099999999999998</v>
      </c>
      <c r="AN60" s="718">
        <v>1.74</v>
      </c>
      <c r="AO60" s="718">
        <f t="shared" si="32"/>
        <v>68.613719999999972</v>
      </c>
      <c r="AP60" s="718">
        <f t="shared" si="33"/>
        <v>72.863719999999972</v>
      </c>
      <c r="AQ60" s="719">
        <v>3.6</v>
      </c>
      <c r="AR60" s="719">
        <v>3</v>
      </c>
      <c r="AS60" s="716">
        <v>28</v>
      </c>
      <c r="AT60" s="716">
        <v>0.6</v>
      </c>
      <c r="AU60" s="716">
        <v>28</v>
      </c>
      <c r="AV60" s="716">
        <f t="shared" si="3"/>
        <v>16.8</v>
      </c>
      <c r="AW60" s="716">
        <f t="shared" si="4"/>
        <v>84</v>
      </c>
      <c r="AX60" s="716">
        <f t="shared" ref="AX60:AX71" si="35">AQ60*AS60</f>
        <v>100.8</v>
      </c>
      <c r="AY60" s="716">
        <f t="shared" si="11"/>
        <v>0</v>
      </c>
      <c r="AZ60" s="716">
        <v>100</v>
      </c>
      <c r="BA60" s="716">
        <v>32.5</v>
      </c>
      <c r="BB60" s="720">
        <v>9500</v>
      </c>
      <c r="BC60" s="716">
        <v>44</v>
      </c>
      <c r="BD60" s="716">
        <v>10</v>
      </c>
      <c r="BE60" s="716">
        <v>80</v>
      </c>
      <c r="BF60" s="716"/>
      <c r="BG60" s="716"/>
      <c r="BH60" s="716"/>
      <c r="BI60" s="716"/>
      <c r="BJ60" s="744"/>
      <c r="BK60" s="744"/>
      <c r="BL60" s="744"/>
      <c r="BM60" s="745"/>
      <c r="BN60" s="722">
        <f t="shared" si="34"/>
        <v>440.16372000000001</v>
      </c>
      <c r="BO60" s="708"/>
      <c r="BP60" s="708"/>
      <c r="BQ60" s="724"/>
      <c r="BR60" s="703">
        <f t="shared" si="7"/>
        <v>300</v>
      </c>
      <c r="BS60" s="703">
        <f t="shared" si="8"/>
        <v>212</v>
      </c>
    </row>
    <row r="61" spans="1:71" s="726" customFormat="1">
      <c r="A61" s="704" t="s">
        <v>40</v>
      </c>
      <c r="B61" s="705">
        <v>59</v>
      </c>
      <c r="C61" s="706"/>
      <c r="D61" s="707" t="s">
        <v>419</v>
      </c>
      <c r="E61" s="706" t="s">
        <v>420</v>
      </c>
      <c r="F61" s="708">
        <v>44075</v>
      </c>
      <c r="G61" s="706" t="s">
        <v>421</v>
      </c>
      <c r="H61" s="709">
        <v>70190</v>
      </c>
      <c r="I61" s="710" t="s">
        <v>323</v>
      </c>
      <c r="J61" s="711">
        <v>31553724</v>
      </c>
      <c r="K61" s="712" t="s">
        <v>422</v>
      </c>
      <c r="L61" s="706" t="s">
        <v>423</v>
      </c>
      <c r="M61" s="713">
        <v>27602</v>
      </c>
      <c r="N61" s="714" t="s">
        <v>424</v>
      </c>
      <c r="O61" s="714">
        <v>8.9220000000000006</v>
      </c>
      <c r="P61" s="714">
        <v>7.2229999999999999</v>
      </c>
      <c r="Q61" s="714">
        <v>1.867</v>
      </c>
      <c r="R61" s="714">
        <v>0.25</v>
      </c>
      <c r="S61" s="714">
        <v>13.327999999999999</v>
      </c>
      <c r="T61" s="714">
        <v>11.409000000000001</v>
      </c>
      <c r="U61" s="714">
        <v>10.789</v>
      </c>
      <c r="V61" s="714">
        <v>10.788</v>
      </c>
      <c r="W61" s="714">
        <v>8.3569999999999993</v>
      </c>
      <c r="X61" s="714">
        <v>3.59</v>
      </c>
      <c r="Y61" s="714"/>
      <c r="Z61" s="714">
        <v>3.59</v>
      </c>
      <c r="AA61" s="714">
        <v>1.57</v>
      </c>
      <c r="AB61" s="714">
        <v>0.05</v>
      </c>
      <c r="AC61" s="704">
        <v>4.2679999999999998</v>
      </c>
      <c r="AD61" s="704">
        <v>3.7069999999999999</v>
      </c>
      <c r="AE61" s="704">
        <v>2.9489999999999998</v>
      </c>
      <c r="AF61" s="715">
        <v>2.3610000000000002</v>
      </c>
      <c r="AG61" s="704">
        <v>2.2109999999999999</v>
      </c>
      <c r="AH61" s="715">
        <v>1.105</v>
      </c>
      <c r="AI61" s="715"/>
      <c r="AJ61" s="716"/>
      <c r="AK61" s="704"/>
      <c r="AL61" s="717">
        <f t="shared" si="31"/>
        <v>1.6990000000000007</v>
      </c>
      <c r="AM61" s="718">
        <v>2.5099999999999998</v>
      </c>
      <c r="AN61" s="718">
        <v>1.74</v>
      </c>
      <c r="AO61" s="718">
        <f t="shared" si="32"/>
        <v>5.8275700000000024</v>
      </c>
      <c r="AP61" s="718">
        <f t="shared" si="33"/>
        <v>10.077570000000001</v>
      </c>
      <c r="AQ61" s="719">
        <v>3.6</v>
      </c>
      <c r="AR61" s="719">
        <v>3</v>
      </c>
      <c r="AS61" s="716">
        <v>28</v>
      </c>
      <c r="AT61" s="716">
        <v>0.6</v>
      </c>
      <c r="AU61" s="716">
        <v>28</v>
      </c>
      <c r="AV61" s="716">
        <f t="shared" si="3"/>
        <v>16.8</v>
      </c>
      <c r="AW61" s="716">
        <f t="shared" si="4"/>
        <v>84</v>
      </c>
      <c r="AX61" s="716">
        <f t="shared" si="35"/>
        <v>100.8</v>
      </c>
      <c r="AY61" s="716">
        <f t="shared" si="11"/>
        <v>0</v>
      </c>
      <c r="AZ61" s="716">
        <v>100</v>
      </c>
      <c r="BA61" s="716"/>
      <c r="BB61" s="720">
        <v>10000</v>
      </c>
      <c r="BC61" s="716">
        <v>52</v>
      </c>
      <c r="BD61" s="716">
        <v>10</v>
      </c>
      <c r="BE61" s="716">
        <v>80</v>
      </c>
      <c r="BF61" s="716"/>
      <c r="BG61" s="716"/>
      <c r="BH61" s="716"/>
      <c r="BI61" s="716"/>
      <c r="BJ61" s="744"/>
      <c r="BK61" s="744"/>
      <c r="BL61" s="744"/>
      <c r="BM61" s="745"/>
      <c r="BN61" s="722">
        <f t="shared" si="34"/>
        <v>352.87756999999999</v>
      </c>
      <c r="BO61" s="708"/>
      <c r="BP61" s="708"/>
      <c r="BQ61" s="724"/>
      <c r="BR61" s="703">
        <f t="shared" si="7"/>
        <v>300</v>
      </c>
      <c r="BS61" s="703">
        <f t="shared" si="8"/>
        <v>213</v>
      </c>
    </row>
    <row r="62" spans="1:71" s="726" customFormat="1">
      <c r="A62" s="704" t="s">
        <v>40</v>
      </c>
      <c r="B62" s="705">
        <v>60</v>
      </c>
      <c r="C62" s="706"/>
      <c r="D62" s="732" t="s">
        <v>899</v>
      </c>
      <c r="E62" s="706" t="s">
        <v>900</v>
      </c>
      <c r="F62" s="708">
        <v>45323</v>
      </c>
      <c r="G62" s="706" t="s">
        <v>901</v>
      </c>
      <c r="H62" s="709">
        <v>70619</v>
      </c>
      <c r="I62" s="710" t="s">
        <v>323</v>
      </c>
      <c r="J62" s="707"/>
      <c r="K62" s="712" t="s">
        <v>902</v>
      </c>
      <c r="L62" s="706" t="s">
        <v>903</v>
      </c>
      <c r="M62" s="713">
        <v>33253</v>
      </c>
      <c r="N62" s="714" t="s">
        <v>425</v>
      </c>
      <c r="O62" s="714">
        <v>16.835000000000001</v>
      </c>
      <c r="P62" s="714">
        <v>6.133</v>
      </c>
      <c r="Q62" s="714"/>
      <c r="R62" s="714"/>
      <c r="S62" s="714"/>
      <c r="T62" s="714"/>
      <c r="U62" s="714"/>
      <c r="V62" s="714"/>
      <c r="W62" s="714"/>
      <c r="X62" s="714"/>
      <c r="Y62" s="714"/>
      <c r="Z62" s="714"/>
      <c r="AA62" s="714"/>
      <c r="AB62" s="714"/>
      <c r="AC62" s="704"/>
      <c r="AD62" s="704"/>
      <c r="AE62" s="704"/>
      <c r="AF62" s="715"/>
      <c r="AG62" s="704"/>
      <c r="AH62" s="715"/>
      <c r="AI62" s="715"/>
      <c r="AJ62" s="716"/>
      <c r="AK62" s="704"/>
      <c r="AL62" s="717">
        <f t="shared" si="31"/>
        <v>10.702000000000002</v>
      </c>
      <c r="AM62" s="718">
        <v>2.5099999999999998</v>
      </c>
      <c r="AN62" s="718">
        <v>1.74</v>
      </c>
      <c r="AO62" s="718">
        <f t="shared" si="32"/>
        <v>36.707860000000011</v>
      </c>
      <c r="AP62" s="718">
        <f t="shared" si="33"/>
        <v>40.957860000000011</v>
      </c>
      <c r="AQ62" s="719">
        <v>3.6</v>
      </c>
      <c r="AR62" s="719">
        <v>3</v>
      </c>
      <c r="AS62" s="716">
        <v>28</v>
      </c>
      <c r="AT62" s="716">
        <v>0.6</v>
      </c>
      <c r="AU62" s="716">
        <v>28</v>
      </c>
      <c r="AV62" s="716">
        <f>(AT62*AU62)+((AT62*AU62)/12*9)</f>
        <v>29.400000000000002</v>
      </c>
      <c r="AW62" s="716">
        <f>(AR62*AS62)+(AR62*AS62)/12*9</f>
        <v>147</v>
      </c>
      <c r="AX62" s="716">
        <f>AQ62*AS62</f>
        <v>100.8</v>
      </c>
      <c r="AY62" s="716">
        <f>AX62-(AV62+AW62)</f>
        <v>-75.600000000000009</v>
      </c>
      <c r="AZ62" s="716">
        <v>200</v>
      </c>
      <c r="BA62" s="716"/>
      <c r="BB62" s="720">
        <v>10000</v>
      </c>
      <c r="BC62" s="716">
        <v>104</v>
      </c>
      <c r="BD62" s="716">
        <v>20</v>
      </c>
      <c r="BE62" s="716">
        <v>80</v>
      </c>
      <c r="BF62" s="716"/>
      <c r="BG62" s="716"/>
      <c r="BH62" s="716">
        <v>150</v>
      </c>
      <c r="BI62" s="716">
        <v>60</v>
      </c>
      <c r="BJ62" s="744"/>
      <c r="BK62" s="744"/>
      <c r="BL62" s="744"/>
      <c r="BM62" s="745">
        <v>60</v>
      </c>
      <c r="BN62" s="722">
        <f t="shared" si="34"/>
        <v>891.35786000000007</v>
      </c>
      <c r="BO62" s="708"/>
      <c r="BP62" s="708"/>
      <c r="BQ62" s="724"/>
      <c r="BR62" s="703">
        <f t="shared" si="7"/>
        <v>300</v>
      </c>
      <c r="BS62" s="703">
        <f t="shared" si="8"/>
        <v>214</v>
      </c>
    </row>
    <row r="63" spans="1:71" s="726" customFormat="1">
      <c r="A63" s="704" t="s">
        <v>40</v>
      </c>
      <c r="B63" s="705">
        <v>61</v>
      </c>
      <c r="C63" s="704"/>
      <c r="D63" s="732" t="s">
        <v>1006</v>
      </c>
      <c r="E63" s="706" t="s">
        <v>1007</v>
      </c>
      <c r="F63" s="708">
        <v>45413</v>
      </c>
      <c r="G63" s="706" t="s">
        <v>1008</v>
      </c>
      <c r="H63" s="709">
        <v>73770</v>
      </c>
      <c r="I63" s="710" t="s">
        <v>1009</v>
      </c>
      <c r="J63" s="711"/>
      <c r="K63" s="725" t="s">
        <v>1010</v>
      </c>
      <c r="L63" s="706" t="s">
        <v>1011</v>
      </c>
      <c r="M63" s="713">
        <v>31660</v>
      </c>
      <c r="N63" s="714" t="s">
        <v>1012</v>
      </c>
      <c r="O63" s="714">
        <v>17.785</v>
      </c>
      <c r="P63" s="714">
        <v>12.85</v>
      </c>
      <c r="Q63" s="714"/>
      <c r="R63" s="714"/>
      <c r="S63" s="714"/>
      <c r="T63" s="714"/>
      <c r="U63" s="714"/>
      <c r="V63" s="714"/>
      <c r="W63" s="714"/>
      <c r="X63" s="714"/>
      <c r="Y63" s="714"/>
      <c r="Z63" s="714"/>
      <c r="AA63" s="714"/>
      <c r="AB63" s="714"/>
      <c r="AC63" s="704"/>
      <c r="AD63" s="704"/>
      <c r="AE63" s="704"/>
      <c r="AF63" s="715"/>
      <c r="AG63" s="704"/>
      <c r="AH63" s="715"/>
      <c r="AI63" s="715"/>
      <c r="AJ63" s="716"/>
      <c r="AK63" s="704"/>
      <c r="AL63" s="717">
        <f t="shared" si="31"/>
        <v>4.9350000000000005</v>
      </c>
      <c r="AM63" s="718">
        <v>2.5099999999999998</v>
      </c>
      <c r="AN63" s="718">
        <v>1.74</v>
      </c>
      <c r="AO63" s="718">
        <f t="shared" si="32"/>
        <v>16.927050000000001</v>
      </c>
      <c r="AP63" s="718">
        <f t="shared" si="33"/>
        <v>21.177050000000001</v>
      </c>
      <c r="AQ63" s="719">
        <v>3.6</v>
      </c>
      <c r="AR63" s="719">
        <v>3</v>
      </c>
      <c r="AS63" s="716">
        <v>28</v>
      </c>
      <c r="AT63" s="716">
        <v>0.6</v>
      </c>
      <c r="AU63" s="716">
        <v>28</v>
      </c>
      <c r="AV63" s="716">
        <f t="shared" ref="AV63" si="36">AT63*AU63</f>
        <v>16.8</v>
      </c>
      <c r="AW63" s="716">
        <f t="shared" ref="AW63" si="37">AR63*AS63</f>
        <v>84</v>
      </c>
      <c r="AX63" s="716">
        <f>AQ63*AS63</f>
        <v>100.8</v>
      </c>
      <c r="AY63" s="716">
        <f>AX63-(AV63+AW63)</f>
        <v>0</v>
      </c>
      <c r="AZ63" s="716">
        <v>100</v>
      </c>
      <c r="BA63" s="716">
        <v>32.5</v>
      </c>
      <c r="BB63" s="720">
        <v>10000</v>
      </c>
      <c r="BC63" s="716">
        <v>52</v>
      </c>
      <c r="BD63" s="716">
        <v>10</v>
      </c>
      <c r="BE63" s="716">
        <v>80</v>
      </c>
      <c r="BF63" s="716"/>
      <c r="BG63" s="716"/>
      <c r="BH63" s="716"/>
      <c r="BI63" s="716"/>
      <c r="BJ63" s="744"/>
      <c r="BK63" s="744"/>
      <c r="BL63" s="744"/>
      <c r="BM63" s="745"/>
      <c r="BN63" s="722">
        <f t="shared" si="34"/>
        <v>396.47705000000002</v>
      </c>
      <c r="BO63" s="708"/>
      <c r="BP63" s="708"/>
      <c r="BQ63" s="724"/>
      <c r="BR63" s="703">
        <f t="shared" ref="BR63:BR125" si="38">AR63*100</f>
        <v>300</v>
      </c>
      <c r="BS63" s="703">
        <f t="shared" si="8"/>
        <v>215</v>
      </c>
    </row>
    <row r="64" spans="1:71" s="726" customFormat="1">
      <c r="A64" s="704" t="s">
        <v>40</v>
      </c>
      <c r="B64" s="705">
        <v>62</v>
      </c>
      <c r="C64" s="706"/>
      <c r="D64" s="707" t="s">
        <v>769</v>
      </c>
      <c r="E64" s="706" t="s">
        <v>770</v>
      </c>
      <c r="F64" s="708">
        <v>44652</v>
      </c>
      <c r="G64" s="706" t="s">
        <v>771</v>
      </c>
      <c r="H64" s="709">
        <v>70191</v>
      </c>
      <c r="I64" s="710" t="s">
        <v>323</v>
      </c>
      <c r="J64" s="712" t="s">
        <v>772</v>
      </c>
      <c r="K64" s="725"/>
      <c r="L64" s="706" t="s">
        <v>773</v>
      </c>
      <c r="M64" s="713">
        <v>17642</v>
      </c>
      <c r="N64" s="714" t="s">
        <v>694</v>
      </c>
      <c r="O64" s="714">
        <v>4.5179999999999998</v>
      </c>
      <c r="P64" s="714">
        <v>4.51</v>
      </c>
      <c r="Q64" s="714">
        <v>2.3180000000000001</v>
      </c>
      <c r="R64" s="714">
        <v>0.25</v>
      </c>
      <c r="S64" s="714">
        <v>91.44</v>
      </c>
      <c r="T64" s="714">
        <v>91.44</v>
      </c>
      <c r="U64" s="714">
        <v>74.56</v>
      </c>
      <c r="V64" s="714">
        <v>66.013000000000005</v>
      </c>
      <c r="W64" s="714">
        <v>40.853000000000002</v>
      </c>
      <c r="X64" s="714">
        <v>27.55</v>
      </c>
      <c r="Y64" s="714">
        <v>16.37</v>
      </c>
      <c r="Z64" s="714">
        <v>0.05</v>
      </c>
      <c r="AA64" s="714">
        <v>58.286000000000001</v>
      </c>
      <c r="AB64" s="714">
        <v>49.432000000000002</v>
      </c>
      <c r="AC64" s="704">
        <v>40.786000000000001</v>
      </c>
      <c r="AD64" s="704">
        <v>29.978000000000002</v>
      </c>
      <c r="AE64" s="704">
        <v>17.689</v>
      </c>
      <c r="AF64" s="715">
        <v>8.327</v>
      </c>
      <c r="AG64" s="704"/>
      <c r="AH64" s="715"/>
      <c r="AI64" s="715"/>
      <c r="AJ64" s="716"/>
      <c r="AK64" s="704"/>
      <c r="AL64" s="717">
        <f t="shared" si="31"/>
        <v>8.0000000000000071E-3</v>
      </c>
      <c r="AM64" s="718">
        <v>2.5099999999999998</v>
      </c>
      <c r="AN64" s="718">
        <v>1.74</v>
      </c>
      <c r="AO64" s="718">
        <f t="shared" si="32"/>
        <v>2.7440000000000027E-2</v>
      </c>
      <c r="AP64" s="718">
        <f t="shared" si="33"/>
        <v>4.2774400000000004</v>
      </c>
      <c r="AQ64" s="719">
        <v>3.6</v>
      </c>
      <c r="AR64" s="719">
        <v>3</v>
      </c>
      <c r="AS64" s="716">
        <v>28</v>
      </c>
      <c r="AT64" s="716">
        <v>0.6</v>
      </c>
      <c r="AU64" s="716">
        <v>28</v>
      </c>
      <c r="AV64" s="716">
        <f t="shared" ref="AV64:AV120" si="39">AT64*AU64</f>
        <v>16.8</v>
      </c>
      <c r="AW64" s="716">
        <f t="shared" ref="AW64:AW120" si="40">AR64*AS64</f>
        <v>84</v>
      </c>
      <c r="AX64" s="716">
        <f t="shared" si="35"/>
        <v>100.8</v>
      </c>
      <c r="AY64" s="716">
        <f t="shared" ref="AY64:AY121" si="41">AX64-(AV64+AW64)</f>
        <v>0</v>
      </c>
      <c r="AZ64" s="716">
        <v>100</v>
      </c>
      <c r="BA64" s="716"/>
      <c r="BB64" s="720">
        <v>5000</v>
      </c>
      <c r="BC64" s="716">
        <v>25</v>
      </c>
      <c r="BD64" s="716">
        <v>10</v>
      </c>
      <c r="BE64" s="716">
        <v>80</v>
      </c>
      <c r="BF64" s="716"/>
      <c r="BG64" s="716"/>
      <c r="BH64" s="716"/>
      <c r="BI64" s="716"/>
      <c r="BJ64" s="744"/>
      <c r="BK64" s="744"/>
      <c r="BL64" s="744"/>
      <c r="BM64" s="745"/>
      <c r="BN64" s="722">
        <f t="shared" si="34"/>
        <v>320.07744000000002</v>
      </c>
      <c r="BO64" s="708"/>
      <c r="BP64" s="708"/>
      <c r="BQ64" s="724"/>
      <c r="BR64" s="703">
        <f t="shared" si="38"/>
        <v>300</v>
      </c>
      <c r="BS64" s="703">
        <f t="shared" ref="BS64:BS126" si="42">BS63+1</f>
        <v>216</v>
      </c>
    </row>
    <row r="65" spans="1:71" s="726" customFormat="1">
      <c r="A65" s="704" t="s">
        <v>40</v>
      </c>
      <c r="B65" s="705">
        <v>63</v>
      </c>
      <c r="C65" s="706"/>
      <c r="D65" s="707" t="s">
        <v>267</v>
      </c>
      <c r="E65" s="706" t="s">
        <v>268</v>
      </c>
      <c r="F65" s="708">
        <v>37128</v>
      </c>
      <c r="G65" s="706" t="s">
        <v>427</v>
      </c>
      <c r="H65" s="709">
        <v>70182</v>
      </c>
      <c r="I65" s="710" t="s">
        <v>323</v>
      </c>
      <c r="J65" s="712">
        <v>2362828</v>
      </c>
      <c r="K65" s="725"/>
      <c r="L65" s="706" t="s">
        <v>428</v>
      </c>
      <c r="M65" s="713">
        <v>24107</v>
      </c>
      <c r="N65" s="714"/>
      <c r="O65" s="714">
        <v>22.155000000000001</v>
      </c>
      <c r="P65" s="714">
        <v>19.88</v>
      </c>
      <c r="Q65" s="714">
        <v>9.1590000000000007</v>
      </c>
      <c r="R65" s="714">
        <v>0.25</v>
      </c>
      <c r="S65" s="714">
        <v>58.243000000000002</v>
      </c>
      <c r="T65" s="714">
        <v>57.46</v>
      </c>
      <c r="U65" s="714">
        <v>44.784999999999997</v>
      </c>
      <c r="V65" s="714">
        <v>36.012</v>
      </c>
      <c r="W65" s="714">
        <v>14.696999999999999</v>
      </c>
      <c r="X65" s="714">
        <v>8.93</v>
      </c>
      <c r="Y65" s="714">
        <v>6.85</v>
      </c>
      <c r="Z65" s="714">
        <v>0.05</v>
      </c>
      <c r="AA65" s="714">
        <v>0.28299999999999997</v>
      </c>
      <c r="AB65" s="714">
        <v>20.518000000000001</v>
      </c>
      <c r="AC65" s="704">
        <v>15.823</v>
      </c>
      <c r="AD65" s="704">
        <v>13.446999999999999</v>
      </c>
      <c r="AE65" s="704">
        <v>7.4080000000000004</v>
      </c>
      <c r="AF65" s="715">
        <v>1.1970000000000001</v>
      </c>
      <c r="AG65" s="704"/>
      <c r="AH65" s="715"/>
      <c r="AI65" s="715"/>
      <c r="AJ65" s="716"/>
      <c r="AK65" s="704"/>
      <c r="AL65" s="717">
        <f t="shared" si="31"/>
        <v>2.2750000000000021</v>
      </c>
      <c r="AM65" s="718">
        <v>2.5099999999999998</v>
      </c>
      <c r="AN65" s="718">
        <v>1.74</v>
      </c>
      <c r="AO65" s="718">
        <f t="shared" si="32"/>
        <v>7.8032500000000073</v>
      </c>
      <c r="AP65" s="718">
        <f t="shared" si="33"/>
        <v>12.053250000000007</v>
      </c>
      <c r="AQ65" s="719">
        <v>3.6</v>
      </c>
      <c r="AR65" s="719">
        <v>3</v>
      </c>
      <c r="AS65" s="716">
        <v>28</v>
      </c>
      <c r="AT65" s="716">
        <v>0.6</v>
      </c>
      <c r="AU65" s="716">
        <v>28</v>
      </c>
      <c r="AV65" s="716">
        <f t="shared" si="39"/>
        <v>16.8</v>
      </c>
      <c r="AW65" s="716">
        <f t="shared" si="40"/>
        <v>84</v>
      </c>
      <c r="AX65" s="716">
        <f t="shared" si="35"/>
        <v>100.8</v>
      </c>
      <c r="AY65" s="716">
        <f t="shared" si="41"/>
        <v>0</v>
      </c>
      <c r="AZ65" s="716">
        <v>100</v>
      </c>
      <c r="BA65" s="716">
        <v>32.5</v>
      </c>
      <c r="BB65" s="720"/>
      <c r="BC65" s="716"/>
      <c r="BD65" s="716">
        <v>10</v>
      </c>
      <c r="BE65" s="716">
        <v>80</v>
      </c>
      <c r="BF65" s="716"/>
      <c r="BG65" s="716"/>
      <c r="BH65" s="716"/>
      <c r="BI65" s="716"/>
      <c r="BJ65" s="744"/>
      <c r="BK65" s="744"/>
      <c r="BL65" s="744"/>
      <c r="BM65" s="745"/>
      <c r="BN65" s="722">
        <f t="shared" si="34"/>
        <v>335.35325</v>
      </c>
      <c r="BO65" s="708"/>
      <c r="BP65" s="708"/>
      <c r="BQ65" s="724"/>
      <c r="BR65" s="703">
        <f t="shared" si="38"/>
        <v>300</v>
      </c>
      <c r="BS65" s="703">
        <f t="shared" si="42"/>
        <v>217</v>
      </c>
    </row>
    <row r="66" spans="1:71" s="726" customFormat="1">
      <c r="A66" s="704" t="s">
        <v>40</v>
      </c>
      <c r="B66" s="705">
        <v>64</v>
      </c>
      <c r="C66" s="706"/>
      <c r="D66" s="707" t="s">
        <v>1013</v>
      </c>
      <c r="E66" s="706" t="s">
        <v>1014</v>
      </c>
      <c r="F66" s="708">
        <v>45627</v>
      </c>
      <c r="G66" s="706" t="s">
        <v>1015</v>
      </c>
      <c r="H66" s="709">
        <v>70619</v>
      </c>
      <c r="I66" s="710" t="s">
        <v>323</v>
      </c>
      <c r="J66" s="733"/>
      <c r="K66" s="725"/>
      <c r="L66" s="706"/>
      <c r="M66" s="713"/>
      <c r="N66" s="714"/>
      <c r="O66" s="714">
        <v>11.555999999999999</v>
      </c>
      <c r="P66" s="714"/>
      <c r="Q66" s="714"/>
      <c r="R66" s="714"/>
      <c r="S66" s="714"/>
      <c r="T66" s="714"/>
      <c r="U66" s="714"/>
      <c r="V66" s="714"/>
      <c r="W66" s="714"/>
      <c r="X66" s="714"/>
      <c r="Y66" s="714"/>
      <c r="Z66" s="714"/>
      <c r="AA66" s="714"/>
      <c r="AB66" s="714"/>
      <c r="AC66" s="704"/>
      <c r="AD66" s="704"/>
      <c r="AE66" s="704"/>
      <c r="AF66" s="715"/>
      <c r="AG66" s="704"/>
      <c r="AH66" s="715"/>
      <c r="AI66" s="715"/>
      <c r="AJ66" s="716"/>
      <c r="AK66" s="704"/>
      <c r="AL66" s="717"/>
      <c r="AM66" s="718"/>
      <c r="AN66" s="718"/>
      <c r="AO66" s="718"/>
      <c r="AP66" s="718"/>
      <c r="AQ66" s="719">
        <v>4.0999999999999996</v>
      </c>
      <c r="AR66" s="719">
        <v>3.4999999999999996</v>
      </c>
      <c r="AS66" s="716">
        <v>28</v>
      </c>
      <c r="AT66" s="716">
        <v>0.6</v>
      </c>
      <c r="AU66" s="716">
        <v>28</v>
      </c>
      <c r="AV66" s="716">
        <f>AT66*AU66+1.4</f>
        <v>18.2</v>
      </c>
      <c r="AW66" s="716">
        <f>AR66*AS66+8.17</f>
        <v>106.16999999999999</v>
      </c>
      <c r="AX66" s="716">
        <f t="shared" ref="AX66" si="43">AQ66*AS66</f>
        <v>114.79999999999998</v>
      </c>
      <c r="AY66" s="716">
        <f t="shared" ref="AY66" si="44">AX66-(AV66+AW66)</f>
        <v>-9.5700000000000074</v>
      </c>
      <c r="AZ66" s="716">
        <f>100+8.35</f>
        <v>108.35</v>
      </c>
      <c r="BA66" s="716">
        <v>32.5</v>
      </c>
      <c r="BB66" s="720">
        <v>10000</v>
      </c>
      <c r="BC66" s="716">
        <v>52</v>
      </c>
      <c r="BD66" s="716">
        <v>10</v>
      </c>
      <c r="BE66" s="716">
        <v>80</v>
      </c>
      <c r="BF66" s="716">
        <v>25</v>
      </c>
      <c r="BG66" s="716"/>
      <c r="BH66" s="716">
        <v>150</v>
      </c>
      <c r="BI66" s="716">
        <v>60</v>
      </c>
      <c r="BJ66" s="744"/>
      <c r="BK66" s="744"/>
      <c r="BL66" s="744"/>
      <c r="BM66" s="745"/>
      <c r="BN66" s="722">
        <f t="shared" si="34"/>
        <v>642.22</v>
      </c>
      <c r="BO66" s="708"/>
      <c r="BP66" s="708"/>
      <c r="BQ66" s="724"/>
      <c r="BR66" s="703">
        <f t="shared" si="38"/>
        <v>349.99999999999994</v>
      </c>
      <c r="BS66" s="703">
        <f t="shared" si="42"/>
        <v>218</v>
      </c>
    </row>
    <row r="67" spans="1:71" s="726" customFormat="1">
      <c r="A67" s="704" t="s">
        <v>40</v>
      </c>
      <c r="B67" s="705">
        <v>65</v>
      </c>
      <c r="C67" s="706"/>
      <c r="D67" s="707" t="s">
        <v>241</v>
      </c>
      <c r="E67" s="706" t="s">
        <v>242</v>
      </c>
      <c r="F67" s="708">
        <v>42705</v>
      </c>
      <c r="G67" s="706" t="s">
        <v>1038</v>
      </c>
      <c r="H67" s="709">
        <v>70619</v>
      </c>
      <c r="I67" s="710" t="s">
        <v>323</v>
      </c>
      <c r="J67" s="733"/>
      <c r="K67" s="712" t="s">
        <v>429</v>
      </c>
      <c r="L67" s="706" t="s">
        <v>430</v>
      </c>
      <c r="M67" s="713">
        <v>31498</v>
      </c>
      <c r="N67" s="714"/>
      <c r="O67" s="714">
        <v>6.5149999999999997</v>
      </c>
      <c r="P67" s="714">
        <v>3.78</v>
      </c>
      <c r="Q67" s="714">
        <v>1.591</v>
      </c>
      <c r="R67" s="714">
        <v>0.25</v>
      </c>
      <c r="S67" s="714">
        <v>11.199</v>
      </c>
      <c r="T67" s="714">
        <v>11.064</v>
      </c>
      <c r="U67" s="714">
        <v>10.993</v>
      </c>
      <c r="V67" s="714">
        <v>10.393000000000001</v>
      </c>
      <c r="W67" s="714">
        <v>8.734</v>
      </c>
      <c r="X67" s="714">
        <v>3.726</v>
      </c>
      <c r="Y67" s="714">
        <v>0</v>
      </c>
      <c r="Z67" s="714"/>
      <c r="AA67" s="714"/>
      <c r="AB67" s="714"/>
      <c r="AC67" s="704"/>
      <c r="AD67" s="704"/>
      <c r="AE67" s="704"/>
      <c r="AF67" s="715"/>
      <c r="AG67" s="704"/>
      <c r="AH67" s="715"/>
      <c r="AI67" s="715"/>
      <c r="AJ67" s="716"/>
      <c r="AK67" s="704"/>
      <c r="AL67" s="717">
        <f t="shared" si="31"/>
        <v>2.7349999999999999</v>
      </c>
      <c r="AM67" s="718">
        <v>2.5099999999999998</v>
      </c>
      <c r="AN67" s="718">
        <v>1.74</v>
      </c>
      <c r="AO67" s="718">
        <f t="shared" si="32"/>
        <v>9.3810500000000001</v>
      </c>
      <c r="AP67" s="718">
        <f t="shared" si="33"/>
        <v>13.63105</v>
      </c>
      <c r="AQ67" s="719">
        <v>4.0999999999999996</v>
      </c>
      <c r="AR67" s="719">
        <v>3.4999999999999996</v>
      </c>
      <c r="AS67" s="716">
        <v>28</v>
      </c>
      <c r="AT67" s="716">
        <v>0.6</v>
      </c>
      <c r="AU67" s="716">
        <v>28</v>
      </c>
      <c r="AV67" s="716">
        <f t="shared" si="39"/>
        <v>16.8</v>
      </c>
      <c r="AW67" s="716">
        <f t="shared" si="40"/>
        <v>97.999999999999986</v>
      </c>
      <c r="AX67" s="716">
        <f t="shared" si="35"/>
        <v>114.79999999999998</v>
      </c>
      <c r="AY67" s="716">
        <f t="shared" si="41"/>
        <v>0</v>
      </c>
      <c r="AZ67" s="716">
        <v>100</v>
      </c>
      <c r="BA67" s="716"/>
      <c r="BB67" s="720">
        <v>10000</v>
      </c>
      <c r="BC67" s="716">
        <v>52</v>
      </c>
      <c r="BD67" s="716">
        <v>10</v>
      </c>
      <c r="BE67" s="716">
        <v>80</v>
      </c>
      <c r="BF67" s="716"/>
      <c r="BG67" s="716"/>
      <c r="BH67" s="716"/>
      <c r="BI67" s="716"/>
      <c r="BJ67" s="744"/>
      <c r="BK67" s="744"/>
      <c r="BL67" s="744"/>
      <c r="BM67" s="745">
        <v>60</v>
      </c>
      <c r="BN67" s="722">
        <f t="shared" si="34"/>
        <v>430.43105000000003</v>
      </c>
      <c r="BO67" s="708"/>
      <c r="BP67" s="708"/>
      <c r="BQ67" s="724"/>
      <c r="BR67" s="703">
        <f t="shared" si="38"/>
        <v>349.99999999999994</v>
      </c>
      <c r="BS67" s="703">
        <f t="shared" si="42"/>
        <v>219</v>
      </c>
    </row>
    <row r="68" spans="1:71" s="726" customFormat="1">
      <c r="A68" s="704" t="s">
        <v>40</v>
      </c>
      <c r="B68" s="705">
        <v>66</v>
      </c>
      <c r="C68" s="706"/>
      <c r="D68" s="707" t="s">
        <v>269</v>
      </c>
      <c r="E68" s="706" t="s">
        <v>270</v>
      </c>
      <c r="F68" s="708">
        <v>43435</v>
      </c>
      <c r="G68" s="706" t="s">
        <v>431</v>
      </c>
      <c r="H68" s="709">
        <v>70619</v>
      </c>
      <c r="I68" s="710" t="s">
        <v>323</v>
      </c>
      <c r="J68" s="750"/>
      <c r="K68" s="712" t="s">
        <v>432</v>
      </c>
      <c r="L68" s="706" t="s">
        <v>433</v>
      </c>
      <c r="M68" s="713">
        <v>26622</v>
      </c>
      <c r="N68" s="714" t="s">
        <v>434</v>
      </c>
      <c r="O68" s="714">
        <v>4.2859999999999996</v>
      </c>
      <c r="P68" s="714">
        <v>3.8079999999999998</v>
      </c>
      <c r="Q68" s="714">
        <v>2.9649999999999999</v>
      </c>
      <c r="R68" s="714">
        <v>0.25</v>
      </c>
      <c r="S68" s="714">
        <v>48.466999999999999</v>
      </c>
      <c r="T68" s="714">
        <v>45.874000000000002</v>
      </c>
      <c r="U68" s="714">
        <v>36.924999999999997</v>
      </c>
      <c r="V68" s="714">
        <v>26.213999999999999</v>
      </c>
      <c r="W68" s="714">
        <v>25.32</v>
      </c>
      <c r="X68" s="714"/>
      <c r="Y68" s="714"/>
      <c r="Z68" s="714"/>
      <c r="AA68" s="714"/>
      <c r="AB68" s="714"/>
      <c r="AC68" s="704"/>
      <c r="AD68" s="704"/>
      <c r="AE68" s="704"/>
      <c r="AF68" s="715"/>
      <c r="AG68" s="704"/>
      <c r="AH68" s="715"/>
      <c r="AI68" s="715"/>
      <c r="AJ68" s="716"/>
      <c r="AK68" s="704"/>
      <c r="AL68" s="717">
        <f t="shared" si="31"/>
        <v>0.47799999999999976</v>
      </c>
      <c r="AM68" s="718">
        <v>2.5099999999999998</v>
      </c>
      <c r="AN68" s="718">
        <v>1.74</v>
      </c>
      <c r="AO68" s="718">
        <f t="shared" si="32"/>
        <v>1.6395399999999993</v>
      </c>
      <c r="AP68" s="718">
        <f t="shared" si="33"/>
        <v>5.8895399999999993</v>
      </c>
      <c r="AQ68" s="719">
        <v>4.0999999999999996</v>
      </c>
      <c r="AR68" s="719">
        <v>3.4999999999999996</v>
      </c>
      <c r="AS68" s="716">
        <v>28</v>
      </c>
      <c r="AT68" s="716">
        <v>0.6</v>
      </c>
      <c r="AU68" s="716">
        <v>28</v>
      </c>
      <c r="AV68" s="716">
        <f t="shared" si="39"/>
        <v>16.8</v>
      </c>
      <c r="AW68" s="716">
        <f t="shared" si="40"/>
        <v>97.999999999999986</v>
      </c>
      <c r="AX68" s="716">
        <f t="shared" si="35"/>
        <v>114.79999999999998</v>
      </c>
      <c r="AY68" s="716">
        <f t="shared" si="41"/>
        <v>0</v>
      </c>
      <c r="AZ68" s="716">
        <v>100</v>
      </c>
      <c r="BA68" s="716"/>
      <c r="BB68" s="720">
        <v>10000</v>
      </c>
      <c r="BC68" s="716">
        <v>52</v>
      </c>
      <c r="BD68" s="716">
        <v>10</v>
      </c>
      <c r="BE68" s="716">
        <v>80</v>
      </c>
      <c r="BF68" s="716"/>
      <c r="BG68" s="716"/>
      <c r="BH68" s="716"/>
      <c r="BI68" s="716"/>
      <c r="BJ68" s="744"/>
      <c r="BK68" s="744"/>
      <c r="BL68" s="744"/>
      <c r="BM68" s="745"/>
      <c r="BN68" s="722">
        <f t="shared" si="34"/>
        <v>362.68953999999997</v>
      </c>
      <c r="BO68" s="708"/>
      <c r="BP68" s="708"/>
      <c r="BQ68" s="724"/>
      <c r="BR68" s="703">
        <f t="shared" si="38"/>
        <v>349.99999999999994</v>
      </c>
      <c r="BS68" s="703">
        <f t="shared" si="42"/>
        <v>220</v>
      </c>
    </row>
    <row r="69" spans="1:71" s="726" customFormat="1">
      <c r="A69" s="704" t="s">
        <v>40</v>
      </c>
      <c r="B69" s="705">
        <v>67</v>
      </c>
      <c r="C69" s="706"/>
      <c r="D69" s="707" t="s">
        <v>88</v>
      </c>
      <c r="E69" s="706" t="s">
        <v>89</v>
      </c>
      <c r="F69" s="708">
        <v>35370</v>
      </c>
      <c r="G69" s="738" t="s">
        <v>435</v>
      </c>
      <c r="H69" s="709">
        <v>70619</v>
      </c>
      <c r="I69" s="710" t="s">
        <v>323</v>
      </c>
      <c r="J69" s="733">
        <v>4707928</v>
      </c>
      <c r="K69" s="725"/>
      <c r="L69" s="706" t="s">
        <v>436</v>
      </c>
      <c r="M69" s="713">
        <v>27878</v>
      </c>
      <c r="N69" s="714"/>
      <c r="O69" s="714">
        <v>12.337999999999999</v>
      </c>
      <c r="P69" s="714">
        <v>9.1440000000000001</v>
      </c>
      <c r="Q69" s="714">
        <v>4.5309999999999997</v>
      </c>
      <c r="R69" s="714">
        <v>0.25</v>
      </c>
      <c r="S69" s="714">
        <v>30.445</v>
      </c>
      <c r="T69" s="714">
        <v>28.07</v>
      </c>
      <c r="U69" s="714">
        <v>23.279</v>
      </c>
      <c r="V69" s="714">
        <v>19.155999999999999</v>
      </c>
      <c r="W69" s="714">
        <v>14.971</v>
      </c>
      <c r="X69" s="714">
        <v>10.97</v>
      </c>
      <c r="Y69" s="714">
        <v>6.21</v>
      </c>
      <c r="Z69" s="714">
        <v>0.05</v>
      </c>
      <c r="AA69" s="714">
        <v>2.66</v>
      </c>
      <c r="AB69" s="714">
        <v>20.43</v>
      </c>
      <c r="AC69" s="704">
        <v>17.227</v>
      </c>
      <c r="AD69" s="704">
        <v>13.972</v>
      </c>
      <c r="AE69" s="704">
        <v>10.487</v>
      </c>
      <c r="AF69" s="715">
        <v>6.9429999999999996</v>
      </c>
      <c r="AG69" s="704"/>
      <c r="AH69" s="715"/>
      <c r="AI69" s="715"/>
      <c r="AJ69" s="716"/>
      <c r="AK69" s="704"/>
      <c r="AL69" s="717">
        <f t="shared" si="31"/>
        <v>3.1939999999999991</v>
      </c>
      <c r="AM69" s="718">
        <v>2.5099999999999998</v>
      </c>
      <c r="AN69" s="718">
        <v>1.74</v>
      </c>
      <c r="AO69" s="718">
        <f t="shared" si="32"/>
        <v>10.955419999999997</v>
      </c>
      <c r="AP69" s="718">
        <f t="shared" si="33"/>
        <v>15.205419999999997</v>
      </c>
      <c r="AQ69" s="719">
        <v>3.6</v>
      </c>
      <c r="AR69" s="719">
        <v>3</v>
      </c>
      <c r="AS69" s="716">
        <v>28</v>
      </c>
      <c r="AT69" s="716">
        <v>0.6</v>
      </c>
      <c r="AU69" s="716">
        <v>28</v>
      </c>
      <c r="AV69" s="716">
        <f t="shared" si="39"/>
        <v>16.8</v>
      </c>
      <c r="AW69" s="716">
        <f t="shared" si="40"/>
        <v>84</v>
      </c>
      <c r="AX69" s="716">
        <f t="shared" si="35"/>
        <v>100.8</v>
      </c>
      <c r="AY69" s="716">
        <f t="shared" si="41"/>
        <v>0</v>
      </c>
      <c r="AZ69" s="716">
        <v>100</v>
      </c>
      <c r="BA69" s="716"/>
      <c r="BB69" s="720">
        <v>5000</v>
      </c>
      <c r="BC69" s="716">
        <v>25</v>
      </c>
      <c r="BD69" s="716">
        <v>10</v>
      </c>
      <c r="BE69" s="716">
        <v>80</v>
      </c>
      <c r="BF69" s="716"/>
      <c r="BG69" s="716"/>
      <c r="BH69" s="716"/>
      <c r="BI69" s="716"/>
      <c r="BJ69" s="744"/>
      <c r="BK69" s="744"/>
      <c r="BL69" s="744"/>
      <c r="BM69" s="745">
        <v>60</v>
      </c>
      <c r="BN69" s="722">
        <f t="shared" si="34"/>
        <v>391.00542000000002</v>
      </c>
      <c r="BO69" s="708"/>
      <c r="BP69" s="708"/>
      <c r="BQ69" s="724"/>
      <c r="BR69" s="703">
        <f t="shared" si="38"/>
        <v>300</v>
      </c>
      <c r="BS69" s="703">
        <f t="shared" si="42"/>
        <v>221</v>
      </c>
    </row>
    <row r="70" spans="1:71" s="726" customFormat="1">
      <c r="A70" s="704" t="s">
        <v>40</v>
      </c>
      <c r="B70" s="705">
        <v>68</v>
      </c>
      <c r="C70" s="706"/>
      <c r="D70" s="707" t="s">
        <v>292</v>
      </c>
      <c r="E70" s="707" t="s">
        <v>293</v>
      </c>
      <c r="F70" s="708">
        <v>43617</v>
      </c>
      <c r="G70" s="706" t="s">
        <v>437</v>
      </c>
      <c r="H70" s="709">
        <v>70327</v>
      </c>
      <c r="I70" s="710" t="s">
        <v>323</v>
      </c>
      <c r="J70" s="712"/>
      <c r="K70" s="712" t="s">
        <v>438</v>
      </c>
      <c r="L70" s="706" t="s">
        <v>904</v>
      </c>
      <c r="M70" s="713">
        <v>31533</v>
      </c>
      <c r="N70" s="714" t="s">
        <v>439</v>
      </c>
      <c r="O70" s="714">
        <v>39.427999999999997</v>
      </c>
      <c r="P70" s="714">
        <v>37.631999999999998</v>
      </c>
      <c r="Q70" s="714">
        <v>21.155999999999999</v>
      </c>
      <c r="R70" s="714">
        <v>0.25</v>
      </c>
      <c r="S70" s="714">
        <v>41.595999999999997</v>
      </c>
      <c r="T70" s="714">
        <v>36.811</v>
      </c>
      <c r="U70" s="714">
        <v>16.815999999999999</v>
      </c>
      <c r="V70" s="714">
        <v>15.663</v>
      </c>
      <c r="W70" s="714">
        <v>7.5439999999999996</v>
      </c>
      <c r="X70" s="714">
        <v>6.7889999999999997</v>
      </c>
      <c r="Y70" s="714">
        <v>5.7</v>
      </c>
      <c r="Z70" s="714">
        <v>0.05</v>
      </c>
      <c r="AA70" s="714">
        <v>40.902000000000001</v>
      </c>
      <c r="AB70" s="714">
        <v>32.920999999999999</v>
      </c>
      <c r="AC70" s="704">
        <v>28.771000000000001</v>
      </c>
      <c r="AD70" s="704">
        <v>21.841999999999999</v>
      </c>
      <c r="AE70" s="704">
        <v>11.762</v>
      </c>
      <c r="AF70" s="715">
        <v>5.4610000000000003</v>
      </c>
      <c r="AG70" s="704"/>
      <c r="AH70" s="715"/>
      <c r="AI70" s="715"/>
      <c r="AJ70" s="716"/>
      <c r="AK70" s="704"/>
      <c r="AL70" s="717">
        <f t="shared" si="31"/>
        <v>1.7959999999999994</v>
      </c>
      <c r="AM70" s="718">
        <v>2.5099999999999998</v>
      </c>
      <c r="AN70" s="718">
        <v>1.74</v>
      </c>
      <c r="AO70" s="718">
        <f t="shared" si="32"/>
        <v>6.1602799999999984</v>
      </c>
      <c r="AP70" s="718">
        <f t="shared" si="33"/>
        <v>10.410279999999998</v>
      </c>
      <c r="AQ70" s="719">
        <v>4.5999999999999996</v>
      </c>
      <c r="AR70" s="719">
        <v>3.9999999999999996</v>
      </c>
      <c r="AS70" s="716">
        <v>28</v>
      </c>
      <c r="AT70" s="716">
        <v>0.6</v>
      </c>
      <c r="AU70" s="716">
        <v>28</v>
      </c>
      <c r="AV70" s="716">
        <f t="shared" si="39"/>
        <v>16.8</v>
      </c>
      <c r="AW70" s="716">
        <f t="shared" si="40"/>
        <v>111.99999999999999</v>
      </c>
      <c r="AX70" s="716">
        <f t="shared" si="35"/>
        <v>128.79999999999998</v>
      </c>
      <c r="AY70" s="716">
        <f t="shared" si="41"/>
        <v>0</v>
      </c>
      <c r="AZ70" s="716">
        <v>100</v>
      </c>
      <c r="BA70" s="716"/>
      <c r="BB70" s="720">
        <v>8000</v>
      </c>
      <c r="BC70" s="716">
        <v>37.5</v>
      </c>
      <c r="BD70" s="716">
        <v>10</v>
      </c>
      <c r="BE70" s="716">
        <v>80</v>
      </c>
      <c r="BF70" s="716"/>
      <c r="BG70" s="716"/>
      <c r="BH70" s="716"/>
      <c r="BI70" s="716"/>
      <c r="BJ70" s="744"/>
      <c r="BK70" s="744"/>
      <c r="BL70" s="744"/>
      <c r="BM70" s="745"/>
      <c r="BN70" s="722">
        <f t="shared" si="34"/>
        <v>366.71028000000001</v>
      </c>
      <c r="BO70" s="708"/>
      <c r="BP70" s="708"/>
      <c r="BQ70" s="724"/>
      <c r="BR70" s="703">
        <f t="shared" si="38"/>
        <v>399.99999999999994</v>
      </c>
      <c r="BS70" s="703">
        <f t="shared" si="42"/>
        <v>222</v>
      </c>
    </row>
    <row r="71" spans="1:71" s="726" customFormat="1">
      <c r="A71" s="704" t="s">
        <v>40</v>
      </c>
      <c r="B71" s="705">
        <v>69</v>
      </c>
      <c r="C71" s="706"/>
      <c r="D71" s="707" t="s">
        <v>90</v>
      </c>
      <c r="E71" s="706" t="s">
        <v>91</v>
      </c>
      <c r="F71" s="708">
        <v>36718</v>
      </c>
      <c r="G71" s="707" t="s">
        <v>440</v>
      </c>
      <c r="H71" s="709">
        <v>73760</v>
      </c>
      <c r="I71" s="710" t="s">
        <v>340</v>
      </c>
      <c r="J71" s="712" t="s">
        <v>441</v>
      </c>
      <c r="K71" s="725"/>
      <c r="L71" s="706" t="s">
        <v>442</v>
      </c>
      <c r="M71" s="713">
        <v>22016</v>
      </c>
      <c r="N71" s="714"/>
      <c r="O71" s="714">
        <v>11.862</v>
      </c>
      <c r="P71" s="714">
        <v>10.624000000000001</v>
      </c>
      <c r="Q71" s="714">
        <v>5.8959999999999999</v>
      </c>
      <c r="R71" s="714">
        <v>0.25</v>
      </c>
      <c r="S71" s="714">
        <v>70.66</v>
      </c>
      <c r="T71" s="714">
        <v>19</v>
      </c>
      <c r="U71" s="714">
        <v>16.303000000000001</v>
      </c>
      <c r="V71" s="714">
        <v>18.146000000000001</v>
      </c>
      <c r="W71" s="714">
        <v>12.6</v>
      </c>
      <c r="X71" s="714">
        <v>9.8870000000000005</v>
      </c>
      <c r="Y71" s="714">
        <v>9.31</v>
      </c>
      <c r="Z71" s="714">
        <v>0.05</v>
      </c>
      <c r="AA71" s="714">
        <v>21.655999999999999</v>
      </c>
      <c r="AB71" s="714">
        <v>20.849</v>
      </c>
      <c r="AC71" s="704">
        <v>18.478999999999999</v>
      </c>
      <c r="AD71" s="704">
        <v>17.681000000000001</v>
      </c>
      <c r="AE71" s="704">
        <v>7.5049999999999999</v>
      </c>
      <c r="AF71" s="715">
        <v>3.3839999999999999</v>
      </c>
      <c r="AG71" s="704"/>
      <c r="AH71" s="715"/>
      <c r="AI71" s="715"/>
      <c r="AJ71" s="716"/>
      <c r="AK71" s="704"/>
      <c r="AL71" s="717">
        <f t="shared" si="31"/>
        <v>1.2379999999999995</v>
      </c>
      <c r="AM71" s="718">
        <v>2.5099999999999998</v>
      </c>
      <c r="AN71" s="718">
        <v>1.74</v>
      </c>
      <c r="AO71" s="718">
        <f t="shared" si="32"/>
        <v>4.2463399999999982</v>
      </c>
      <c r="AP71" s="718">
        <f t="shared" si="33"/>
        <v>8.4963399999999982</v>
      </c>
      <c r="AQ71" s="719">
        <v>4.0999999999999996</v>
      </c>
      <c r="AR71" s="719">
        <v>3.4999999999999996</v>
      </c>
      <c r="AS71" s="716">
        <v>28</v>
      </c>
      <c r="AT71" s="716">
        <v>0.6</v>
      </c>
      <c r="AU71" s="716">
        <v>28</v>
      </c>
      <c r="AV71" s="716">
        <f t="shared" si="39"/>
        <v>16.8</v>
      </c>
      <c r="AW71" s="716">
        <f t="shared" si="40"/>
        <v>97.999999999999986</v>
      </c>
      <c r="AX71" s="716">
        <f t="shared" si="35"/>
        <v>114.79999999999998</v>
      </c>
      <c r="AY71" s="716">
        <f t="shared" si="41"/>
        <v>0</v>
      </c>
      <c r="AZ71" s="716">
        <v>100</v>
      </c>
      <c r="BA71" s="716">
        <v>32.5</v>
      </c>
      <c r="BB71" s="720">
        <v>7500</v>
      </c>
      <c r="BC71" s="716">
        <v>35.5</v>
      </c>
      <c r="BD71" s="716">
        <v>10</v>
      </c>
      <c r="BE71" s="716">
        <v>80</v>
      </c>
      <c r="BF71" s="716"/>
      <c r="BG71" s="716"/>
      <c r="BH71" s="716"/>
      <c r="BI71" s="716"/>
      <c r="BJ71" s="744"/>
      <c r="BK71" s="744"/>
      <c r="BL71" s="744"/>
      <c r="BM71" s="745"/>
      <c r="BN71" s="722">
        <f t="shared" si="34"/>
        <v>381.29633999999999</v>
      </c>
      <c r="BO71" s="708"/>
      <c r="BP71" s="708"/>
      <c r="BQ71" s="724"/>
      <c r="BR71" s="703">
        <f t="shared" si="38"/>
        <v>349.99999999999994</v>
      </c>
      <c r="BS71" s="703">
        <f t="shared" si="42"/>
        <v>223</v>
      </c>
    </row>
    <row r="72" spans="1:71" s="726" customFormat="1">
      <c r="A72" s="704" t="s">
        <v>40</v>
      </c>
      <c r="B72" s="705">
        <v>70</v>
      </c>
      <c r="C72" s="706"/>
      <c r="D72" s="707" t="s">
        <v>905</v>
      </c>
      <c r="E72" s="706" t="s">
        <v>906</v>
      </c>
      <c r="F72" s="708">
        <v>45261</v>
      </c>
      <c r="G72" s="707" t="s">
        <v>907</v>
      </c>
      <c r="H72" s="709">
        <v>70376</v>
      </c>
      <c r="I72" s="710" t="s">
        <v>323</v>
      </c>
      <c r="J72" s="712"/>
      <c r="K72" s="725" t="s">
        <v>908</v>
      </c>
      <c r="L72" s="706" t="s">
        <v>909</v>
      </c>
      <c r="M72" s="713">
        <v>31280</v>
      </c>
      <c r="N72" s="714" t="s">
        <v>774</v>
      </c>
      <c r="O72" s="714">
        <v>11.472</v>
      </c>
      <c r="P72" s="714">
        <v>3.2330000000000001</v>
      </c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714"/>
      <c r="AB72" s="714"/>
      <c r="AC72" s="704"/>
      <c r="AD72" s="704"/>
      <c r="AE72" s="704"/>
      <c r="AF72" s="715"/>
      <c r="AG72" s="704"/>
      <c r="AH72" s="715"/>
      <c r="AI72" s="715"/>
      <c r="AJ72" s="716"/>
      <c r="AK72" s="704"/>
      <c r="AL72" s="717">
        <f t="shared" si="31"/>
        <v>8.238999999999999</v>
      </c>
      <c r="AM72" s="718">
        <v>2.5099999999999998</v>
      </c>
      <c r="AN72" s="718">
        <v>1.74</v>
      </c>
      <c r="AO72" s="718">
        <f t="shared" si="32"/>
        <v>28.25977</v>
      </c>
      <c r="AP72" s="718">
        <f t="shared" si="33"/>
        <v>32.509770000000003</v>
      </c>
      <c r="AQ72" s="719">
        <v>4.0999999999999996</v>
      </c>
      <c r="AR72" s="719">
        <v>3.4999999999999996</v>
      </c>
      <c r="AS72" s="716">
        <v>28</v>
      </c>
      <c r="AT72" s="716">
        <v>0.6</v>
      </c>
      <c r="AU72" s="716">
        <v>28</v>
      </c>
      <c r="AV72" s="716">
        <f t="shared" si="39"/>
        <v>16.8</v>
      </c>
      <c r="AW72" s="716">
        <f t="shared" si="40"/>
        <v>97.999999999999986</v>
      </c>
      <c r="AX72" s="716">
        <f t="shared" ref="AX72" si="45">AQ72*AS72</f>
        <v>114.79999999999998</v>
      </c>
      <c r="AY72" s="716">
        <f>AX72-(AV72+AW72)</f>
        <v>0</v>
      </c>
      <c r="AZ72" s="716">
        <v>100</v>
      </c>
      <c r="BA72" s="716"/>
      <c r="BB72" s="720"/>
      <c r="BC72" s="716"/>
      <c r="BD72" s="716">
        <v>10</v>
      </c>
      <c r="BE72" s="716">
        <v>80</v>
      </c>
      <c r="BF72" s="716"/>
      <c r="BG72" s="716"/>
      <c r="BH72" s="716"/>
      <c r="BI72" s="716"/>
      <c r="BJ72" s="744"/>
      <c r="BK72" s="744"/>
      <c r="BL72" s="744"/>
      <c r="BM72" s="745"/>
      <c r="BN72" s="722">
        <f t="shared" si="34"/>
        <v>337.30977000000001</v>
      </c>
      <c r="BO72" s="708"/>
      <c r="BP72" s="708"/>
      <c r="BQ72" s="724"/>
      <c r="BR72" s="703">
        <f t="shared" si="38"/>
        <v>349.99999999999994</v>
      </c>
      <c r="BS72" s="703">
        <f t="shared" si="42"/>
        <v>224</v>
      </c>
    </row>
    <row r="73" spans="1:71" s="726" customFormat="1">
      <c r="A73" s="704" t="s">
        <v>40</v>
      </c>
      <c r="B73" s="705">
        <v>71</v>
      </c>
      <c r="C73" s="706"/>
      <c r="D73" s="707" t="s">
        <v>92</v>
      </c>
      <c r="E73" s="706" t="s">
        <v>91</v>
      </c>
      <c r="F73" s="708">
        <v>39539</v>
      </c>
      <c r="G73" s="706" t="s">
        <v>443</v>
      </c>
      <c r="H73" s="709">
        <v>70619</v>
      </c>
      <c r="I73" s="710" t="s">
        <v>323</v>
      </c>
      <c r="J73" s="711">
        <v>2568320</v>
      </c>
      <c r="K73" s="725"/>
      <c r="L73" s="706" t="s">
        <v>775</v>
      </c>
      <c r="M73" s="713">
        <v>15901</v>
      </c>
      <c r="N73" s="714"/>
      <c r="O73" s="714">
        <v>21.378</v>
      </c>
      <c r="P73" s="714">
        <v>19.422000000000001</v>
      </c>
      <c r="Q73" s="714">
        <v>10.331</v>
      </c>
      <c r="R73" s="714">
        <v>0.25</v>
      </c>
      <c r="S73" s="714">
        <v>58.704000000000001</v>
      </c>
      <c r="T73" s="714">
        <v>55.588999999999999</v>
      </c>
      <c r="U73" s="704">
        <v>35.457000000000001</v>
      </c>
      <c r="V73" s="704">
        <v>28.218</v>
      </c>
      <c r="W73" s="704">
        <v>19.364999999999998</v>
      </c>
      <c r="X73" s="704">
        <v>12.487</v>
      </c>
      <c r="Y73" s="704">
        <v>9.2279999999999998</v>
      </c>
      <c r="Z73" s="704">
        <v>0.05</v>
      </c>
      <c r="AA73" s="704">
        <v>11.124000000000001</v>
      </c>
      <c r="AB73" s="714">
        <v>6.1870000000000003</v>
      </c>
      <c r="AC73" s="704">
        <v>45</v>
      </c>
      <c r="AD73" s="704">
        <v>36.988</v>
      </c>
      <c r="AE73" s="704">
        <v>27.677</v>
      </c>
      <c r="AF73" s="715">
        <v>18.29</v>
      </c>
      <c r="AG73" s="704"/>
      <c r="AH73" s="715"/>
      <c r="AI73" s="715"/>
      <c r="AJ73" s="716"/>
      <c r="AK73" s="704"/>
      <c r="AL73" s="717">
        <f t="shared" si="31"/>
        <v>1.9559999999999995</v>
      </c>
      <c r="AM73" s="718">
        <v>2.5099999999999998</v>
      </c>
      <c r="AN73" s="718">
        <v>1.74</v>
      </c>
      <c r="AO73" s="718">
        <f t="shared" si="32"/>
        <v>6.7090799999999984</v>
      </c>
      <c r="AP73" s="718">
        <f t="shared" si="33"/>
        <v>10.959079999999998</v>
      </c>
      <c r="AQ73" s="719">
        <v>4.0999999999999996</v>
      </c>
      <c r="AR73" s="719">
        <v>3.4999999999999996</v>
      </c>
      <c r="AS73" s="716">
        <v>28</v>
      </c>
      <c r="AT73" s="716">
        <v>0.6</v>
      </c>
      <c r="AU73" s="716">
        <v>28</v>
      </c>
      <c r="AV73" s="716">
        <f t="shared" si="39"/>
        <v>16.8</v>
      </c>
      <c r="AW73" s="716">
        <f t="shared" si="40"/>
        <v>97.999999999999986</v>
      </c>
      <c r="AX73" s="716">
        <f t="shared" ref="AX73" si="46">AQ73*AS73</f>
        <v>114.79999999999998</v>
      </c>
      <c r="AY73" s="716">
        <f t="shared" si="41"/>
        <v>0</v>
      </c>
      <c r="AZ73" s="716">
        <v>100</v>
      </c>
      <c r="BA73" s="716">
        <v>32.5</v>
      </c>
      <c r="BB73" s="720">
        <v>9000</v>
      </c>
      <c r="BC73" s="716">
        <v>42</v>
      </c>
      <c r="BD73" s="716">
        <v>10</v>
      </c>
      <c r="BE73" s="716">
        <v>80</v>
      </c>
      <c r="BF73" s="716"/>
      <c r="BG73" s="716"/>
      <c r="BH73" s="716"/>
      <c r="BI73" s="716"/>
      <c r="BJ73" s="744"/>
      <c r="BK73" s="744"/>
      <c r="BL73" s="744"/>
      <c r="BM73" s="745"/>
      <c r="BN73" s="722">
        <f t="shared" si="34"/>
        <v>390.25907999999998</v>
      </c>
      <c r="BO73" s="708"/>
      <c r="BP73" s="708"/>
      <c r="BQ73" s="724"/>
      <c r="BR73" s="703">
        <f t="shared" si="38"/>
        <v>349.99999999999994</v>
      </c>
      <c r="BS73" s="703">
        <f t="shared" si="42"/>
        <v>225</v>
      </c>
    </row>
    <row r="74" spans="1:71" s="726" customFormat="1">
      <c r="A74" s="704" t="s">
        <v>93</v>
      </c>
      <c r="B74" s="705">
        <v>8</v>
      </c>
      <c r="C74" s="706"/>
      <c r="D74" s="707" t="s">
        <v>94</v>
      </c>
      <c r="E74" s="706" t="s">
        <v>95</v>
      </c>
      <c r="F74" s="708">
        <v>39052</v>
      </c>
      <c r="G74" s="706" t="s">
        <v>444</v>
      </c>
      <c r="H74" s="709">
        <v>70178</v>
      </c>
      <c r="I74" s="710" t="s">
        <v>323</v>
      </c>
      <c r="J74" s="711">
        <v>604632</v>
      </c>
      <c r="K74" s="725" t="s">
        <v>445</v>
      </c>
      <c r="L74" s="751" t="s">
        <v>446</v>
      </c>
      <c r="M74" s="713">
        <v>24741</v>
      </c>
      <c r="N74" s="714"/>
      <c r="O74" s="714">
        <v>38.78</v>
      </c>
      <c r="P74" s="714">
        <v>33.435000000000002</v>
      </c>
      <c r="Q74" s="714">
        <v>15.304</v>
      </c>
      <c r="R74" s="714">
        <v>0.25</v>
      </c>
      <c r="S74" s="714">
        <v>72.924999999999997</v>
      </c>
      <c r="T74" s="714">
        <v>65.864999999999995</v>
      </c>
      <c r="U74" s="750">
        <v>49.8</v>
      </c>
      <c r="V74" s="750">
        <v>40.930999999999997</v>
      </c>
      <c r="W74" s="750">
        <v>28.292000000000002</v>
      </c>
      <c r="X74" s="750">
        <v>20.364000000000001</v>
      </c>
      <c r="Y74" s="750">
        <v>12.622</v>
      </c>
      <c r="Z74" s="750">
        <v>0.05</v>
      </c>
      <c r="AA74" s="750">
        <v>41.664999999999999</v>
      </c>
      <c r="AB74" s="714">
        <v>32.67</v>
      </c>
      <c r="AC74" s="704">
        <v>24.86</v>
      </c>
      <c r="AD74" s="704">
        <v>16.96</v>
      </c>
      <c r="AE74" s="704">
        <v>9.9600000000000009</v>
      </c>
      <c r="AF74" s="715">
        <v>5.12</v>
      </c>
      <c r="AG74" s="704"/>
      <c r="AH74" s="715"/>
      <c r="AI74" s="715"/>
      <c r="AJ74" s="716"/>
      <c r="AK74" s="704"/>
      <c r="AL74" s="717">
        <f t="shared" si="31"/>
        <v>5.3449999999999989</v>
      </c>
      <c r="AM74" s="718">
        <v>2.5099999999999998</v>
      </c>
      <c r="AN74" s="718">
        <v>2.4700000000000002</v>
      </c>
      <c r="AO74" s="718">
        <f>3.43*AL74</f>
        <v>18.333349999999996</v>
      </c>
      <c r="AP74" s="718">
        <f t="shared" si="33"/>
        <v>23.313349999999996</v>
      </c>
      <c r="AQ74" s="719">
        <v>5</v>
      </c>
      <c r="AR74" s="719">
        <v>4.4000000000000004</v>
      </c>
      <c r="AS74" s="716">
        <v>28</v>
      </c>
      <c r="AT74" s="716">
        <v>0.6</v>
      </c>
      <c r="AU74" s="716">
        <v>28</v>
      </c>
      <c r="AV74" s="716">
        <f t="shared" si="39"/>
        <v>16.8</v>
      </c>
      <c r="AW74" s="716">
        <f t="shared" si="40"/>
        <v>123.20000000000002</v>
      </c>
      <c r="AX74" s="716">
        <f t="shared" ref="AX74:AX87" si="47">AQ74*AS74</f>
        <v>140</v>
      </c>
      <c r="AY74" s="716">
        <f t="shared" si="41"/>
        <v>0</v>
      </c>
      <c r="AZ74" s="716">
        <v>100</v>
      </c>
      <c r="BA74" s="716"/>
      <c r="BB74" s="720">
        <v>10000</v>
      </c>
      <c r="BC74" s="716">
        <v>52</v>
      </c>
      <c r="BD74" s="716">
        <v>10</v>
      </c>
      <c r="BE74" s="716">
        <v>80</v>
      </c>
      <c r="BF74" s="716"/>
      <c r="BG74" s="716"/>
      <c r="BH74" s="716"/>
      <c r="BI74" s="716"/>
      <c r="BJ74" s="744"/>
      <c r="BK74" s="744"/>
      <c r="BL74" s="744"/>
      <c r="BM74" s="745"/>
      <c r="BN74" s="722">
        <f t="shared" si="34"/>
        <v>405.31335000000001</v>
      </c>
      <c r="BO74" s="708"/>
      <c r="BP74" s="708"/>
      <c r="BQ74" s="724"/>
      <c r="BR74" s="703">
        <f t="shared" si="38"/>
        <v>440.00000000000006</v>
      </c>
      <c r="BS74" s="703">
        <f t="shared" si="42"/>
        <v>226</v>
      </c>
    </row>
    <row r="75" spans="1:71" s="726" customFormat="1">
      <c r="A75" s="704" t="s">
        <v>93</v>
      </c>
      <c r="B75" s="705">
        <v>9</v>
      </c>
      <c r="C75" s="706"/>
      <c r="D75" s="707" t="s">
        <v>1016</v>
      </c>
      <c r="E75" s="706" t="s">
        <v>1053</v>
      </c>
      <c r="F75" s="708">
        <v>45689</v>
      </c>
      <c r="G75" s="706" t="s">
        <v>1054</v>
      </c>
      <c r="H75" s="709">
        <v>70619</v>
      </c>
      <c r="I75" s="710" t="s">
        <v>323</v>
      </c>
      <c r="J75" s="711" t="s">
        <v>1055</v>
      </c>
      <c r="K75" s="725"/>
      <c r="L75" s="729" t="s">
        <v>1056</v>
      </c>
      <c r="M75" s="713">
        <v>24750</v>
      </c>
      <c r="N75" s="714" t="s">
        <v>1057</v>
      </c>
      <c r="O75" s="714">
        <v>16.033999999999999</v>
      </c>
      <c r="P75" s="714"/>
      <c r="Q75" s="752"/>
      <c r="R75" s="714"/>
      <c r="S75" s="752"/>
      <c r="T75" s="714"/>
      <c r="U75" s="750"/>
      <c r="V75" s="750"/>
      <c r="W75" s="750"/>
      <c r="X75" s="750"/>
      <c r="Y75" s="750"/>
      <c r="Z75" s="750"/>
      <c r="AA75" s="750"/>
      <c r="AB75" s="714"/>
      <c r="AC75" s="704"/>
      <c r="AD75" s="704"/>
      <c r="AE75" s="704"/>
      <c r="AF75" s="715"/>
      <c r="AG75" s="704"/>
      <c r="AH75" s="715"/>
      <c r="AI75" s="715"/>
      <c r="AJ75" s="716"/>
      <c r="AK75" s="704"/>
      <c r="AL75" s="717"/>
      <c r="AM75" s="718"/>
      <c r="AN75" s="718"/>
      <c r="AO75" s="718"/>
      <c r="AP75" s="718"/>
      <c r="AQ75" s="719">
        <v>4.0999999999999996</v>
      </c>
      <c r="AR75" s="719">
        <v>3.4999999999999996</v>
      </c>
      <c r="AS75" s="716">
        <v>28</v>
      </c>
      <c r="AT75" s="716">
        <v>0.6</v>
      </c>
      <c r="AU75" s="716">
        <v>28</v>
      </c>
      <c r="AV75" s="716">
        <f>(AT75*AU75/12*10)</f>
        <v>14.000000000000002</v>
      </c>
      <c r="AW75" s="716">
        <f>(AR75*AS75/12*10)</f>
        <v>81.666666666666657</v>
      </c>
      <c r="AX75" s="716"/>
      <c r="AY75" s="716"/>
      <c r="AZ75" s="716">
        <v>100</v>
      </c>
      <c r="BA75" s="716"/>
      <c r="BB75" s="720">
        <v>10000</v>
      </c>
      <c r="BC75" s="716">
        <v>52</v>
      </c>
      <c r="BD75" s="716">
        <v>10</v>
      </c>
      <c r="BE75" s="716">
        <v>80</v>
      </c>
      <c r="BF75" s="716"/>
      <c r="BG75" s="716"/>
      <c r="BH75" s="716">
        <v>150</v>
      </c>
      <c r="BI75" s="716"/>
      <c r="BJ75" s="744"/>
      <c r="BK75" s="744"/>
      <c r="BL75" s="744"/>
      <c r="BM75" s="745"/>
      <c r="BN75" s="722">
        <f>AP75+AW75+AV75+AZ75+BA75+BC75+BD75+BE75+BF75+BG75+BH75+BI75+BJ75+BM75+BL75</f>
        <v>487.66666666666663</v>
      </c>
      <c r="BO75" s="708"/>
      <c r="BP75" s="708"/>
      <c r="BQ75" s="724"/>
      <c r="BR75" s="703">
        <f t="shared" si="38"/>
        <v>349.99999999999994</v>
      </c>
      <c r="BS75" s="703">
        <f t="shared" si="42"/>
        <v>227</v>
      </c>
    </row>
    <row r="76" spans="1:71" s="726" customFormat="1">
      <c r="A76" s="704" t="s">
        <v>93</v>
      </c>
      <c r="B76" s="705">
        <v>10</v>
      </c>
      <c r="C76" s="706"/>
      <c r="D76" s="707" t="s">
        <v>96</v>
      </c>
      <c r="E76" s="706" t="s">
        <v>97</v>
      </c>
      <c r="F76" s="708">
        <v>25448</v>
      </c>
      <c r="G76" s="706" t="s">
        <v>448</v>
      </c>
      <c r="H76" s="709">
        <v>70619</v>
      </c>
      <c r="I76" s="710" t="s">
        <v>323</v>
      </c>
      <c r="J76" s="711" t="s">
        <v>449</v>
      </c>
      <c r="K76" s="725"/>
      <c r="L76" s="706" t="s">
        <v>450</v>
      </c>
      <c r="M76" s="713">
        <v>14081</v>
      </c>
      <c r="N76" s="752"/>
      <c r="O76" s="752">
        <v>23.562000000000001</v>
      </c>
      <c r="P76" s="714">
        <v>22.029</v>
      </c>
      <c r="Q76" s="714">
        <v>10.348000000000001</v>
      </c>
      <c r="R76" s="714">
        <v>0.25</v>
      </c>
      <c r="S76" s="714">
        <v>93.486999999999995</v>
      </c>
      <c r="T76" s="714">
        <v>81.844999999999999</v>
      </c>
      <c r="U76" s="714">
        <v>64.832999999999998</v>
      </c>
      <c r="V76" s="714">
        <v>55.901000000000003</v>
      </c>
      <c r="W76" s="714">
        <v>45.613999999999997</v>
      </c>
      <c r="X76" s="714">
        <v>34.048999999999999</v>
      </c>
      <c r="Y76" s="714">
        <v>20.033000000000001</v>
      </c>
      <c r="Z76" s="714">
        <v>0.05</v>
      </c>
      <c r="AA76" s="714">
        <v>54.024000000000001</v>
      </c>
      <c r="AB76" s="714">
        <v>46.95</v>
      </c>
      <c r="AC76" s="704">
        <v>34.54</v>
      </c>
      <c r="AD76" s="704">
        <v>23.84</v>
      </c>
      <c r="AE76" s="704">
        <v>31.85</v>
      </c>
      <c r="AF76" s="715">
        <v>21.29</v>
      </c>
      <c r="AG76" s="704"/>
      <c r="AH76" s="715"/>
      <c r="AI76" s="715"/>
      <c r="AJ76" s="716"/>
      <c r="AK76" s="704"/>
      <c r="AL76" s="717">
        <f t="shared" si="31"/>
        <v>1.5330000000000013</v>
      </c>
      <c r="AM76" s="718">
        <v>2.5099999999999998</v>
      </c>
      <c r="AN76" s="718">
        <v>2.4700000000000002</v>
      </c>
      <c r="AO76" s="718">
        <f t="shared" ref="AO76:AO136" si="48">3.43*AL76</f>
        <v>5.2581900000000044</v>
      </c>
      <c r="AP76" s="718">
        <f t="shared" si="33"/>
        <v>10.238190000000005</v>
      </c>
      <c r="AQ76" s="719">
        <v>4.5999999999999996</v>
      </c>
      <c r="AR76" s="719">
        <v>3.9999999999999996</v>
      </c>
      <c r="AS76" s="716">
        <v>28</v>
      </c>
      <c r="AT76" s="716">
        <v>0.6</v>
      </c>
      <c r="AU76" s="716">
        <v>28</v>
      </c>
      <c r="AV76" s="716">
        <f t="shared" si="39"/>
        <v>16.8</v>
      </c>
      <c r="AW76" s="716">
        <f t="shared" si="40"/>
        <v>111.99999999999999</v>
      </c>
      <c r="AX76" s="716">
        <f t="shared" si="47"/>
        <v>128.79999999999998</v>
      </c>
      <c r="AY76" s="716">
        <f t="shared" si="41"/>
        <v>0</v>
      </c>
      <c r="AZ76" s="716">
        <v>100</v>
      </c>
      <c r="BA76" s="716"/>
      <c r="BB76" s="720"/>
      <c r="BC76" s="716"/>
      <c r="BD76" s="716">
        <v>10</v>
      </c>
      <c r="BE76" s="716">
        <v>80</v>
      </c>
      <c r="BF76" s="716"/>
      <c r="BG76" s="716"/>
      <c r="BH76" s="716"/>
      <c r="BI76" s="716"/>
      <c r="BJ76" s="744"/>
      <c r="BK76" s="744"/>
      <c r="BL76" s="744"/>
      <c r="BM76" s="745">
        <v>120</v>
      </c>
      <c r="BN76" s="722">
        <f t="shared" si="34"/>
        <v>449.03818999999999</v>
      </c>
      <c r="BO76" s="708"/>
      <c r="BP76" s="708"/>
      <c r="BQ76" s="724"/>
      <c r="BR76" s="703">
        <f t="shared" si="38"/>
        <v>399.99999999999994</v>
      </c>
      <c r="BS76" s="703">
        <f t="shared" si="42"/>
        <v>228</v>
      </c>
    </row>
    <row r="77" spans="1:71" s="726" customFormat="1">
      <c r="A77" s="704" t="s">
        <v>93</v>
      </c>
      <c r="B77" s="705">
        <v>11</v>
      </c>
      <c r="C77" s="706"/>
      <c r="D77" s="707" t="s">
        <v>776</v>
      </c>
      <c r="E77" s="706" t="s">
        <v>777</v>
      </c>
      <c r="F77" s="708">
        <v>44652</v>
      </c>
      <c r="G77" s="706" t="s">
        <v>910</v>
      </c>
      <c r="H77" s="709">
        <v>70619</v>
      </c>
      <c r="I77" s="710" t="s">
        <v>323</v>
      </c>
      <c r="J77" s="711"/>
      <c r="K77" s="725" t="s">
        <v>778</v>
      </c>
      <c r="L77" s="706" t="s">
        <v>779</v>
      </c>
      <c r="M77" s="713">
        <v>30155</v>
      </c>
      <c r="N77" s="714" t="s">
        <v>780</v>
      </c>
      <c r="O77" s="714">
        <v>7.4409999999999998</v>
      </c>
      <c r="P77" s="714">
        <v>5.8109999999999999</v>
      </c>
      <c r="Q77" s="714">
        <v>1.8089999999999999</v>
      </c>
      <c r="R77" s="714">
        <v>0.25</v>
      </c>
      <c r="S77" s="714">
        <v>5.992</v>
      </c>
      <c r="T77" s="714">
        <v>5.99</v>
      </c>
      <c r="U77" s="732">
        <v>5.2519999999999998</v>
      </c>
      <c r="V77" s="732">
        <v>4.9089999999999998</v>
      </c>
      <c r="W77" s="732">
        <v>2.7440000000000002</v>
      </c>
      <c r="X77" s="732">
        <v>1.53</v>
      </c>
      <c r="Y77" s="732">
        <v>0.67900000000000005</v>
      </c>
      <c r="Z77" s="732">
        <v>0.05</v>
      </c>
      <c r="AA77" s="732">
        <v>10.61</v>
      </c>
      <c r="AB77" s="732">
        <v>9.25</v>
      </c>
      <c r="AC77" s="704">
        <v>7.57</v>
      </c>
      <c r="AD77" s="704">
        <v>5.08</v>
      </c>
      <c r="AE77" s="704"/>
      <c r="AF77" s="715"/>
      <c r="AG77" s="704"/>
      <c r="AH77" s="715"/>
      <c r="AI77" s="715"/>
      <c r="AJ77" s="716"/>
      <c r="AK77" s="704"/>
      <c r="AL77" s="717">
        <f t="shared" si="31"/>
        <v>1.63</v>
      </c>
      <c r="AM77" s="718">
        <v>2.5099999999999998</v>
      </c>
      <c r="AN77" s="718">
        <v>2.4700000000000002</v>
      </c>
      <c r="AO77" s="718">
        <f t="shared" si="48"/>
        <v>5.5908999999999995</v>
      </c>
      <c r="AP77" s="718">
        <f t="shared" si="33"/>
        <v>10.5709</v>
      </c>
      <c r="AQ77" s="719">
        <v>5.0999999999999996</v>
      </c>
      <c r="AR77" s="719">
        <v>4.5</v>
      </c>
      <c r="AS77" s="716">
        <v>28</v>
      </c>
      <c r="AT77" s="716">
        <v>0.6</v>
      </c>
      <c r="AU77" s="716">
        <v>28</v>
      </c>
      <c r="AV77" s="716">
        <f t="shared" si="39"/>
        <v>16.8</v>
      </c>
      <c r="AW77" s="716">
        <f t="shared" si="40"/>
        <v>126</v>
      </c>
      <c r="AX77" s="716">
        <f t="shared" si="47"/>
        <v>142.79999999999998</v>
      </c>
      <c r="AY77" s="716">
        <f t="shared" si="41"/>
        <v>0</v>
      </c>
      <c r="AZ77" s="716">
        <v>100</v>
      </c>
      <c r="BA77" s="716"/>
      <c r="BB77" s="720">
        <v>10000</v>
      </c>
      <c r="BC77" s="716">
        <v>52</v>
      </c>
      <c r="BD77" s="716">
        <v>10</v>
      </c>
      <c r="BE77" s="716">
        <v>80</v>
      </c>
      <c r="BF77" s="716"/>
      <c r="BG77" s="716"/>
      <c r="BH77" s="716"/>
      <c r="BI77" s="716"/>
      <c r="BJ77" s="744"/>
      <c r="BK77" s="744"/>
      <c r="BL77" s="744"/>
      <c r="BM77" s="745"/>
      <c r="BN77" s="722">
        <f t="shared" si="34"/>
        <v>395.37090000000001</v>
      </c>
      <c r="BO77" s="708"/>
      <c r="BP77" s="708"/>
      <c r="BQ77" s="724"/>
      <c r="BR77" s="703">
        <f t="shared" si="38"/>
        <v>450</v>
      </c>
      <c r="BS77" s="703">
        <f t="shared" si="42"/>
        <v>229</v>
      </c>
    </row>
    <row r="78" spans="1:71" s="726" customFormat="1">
      <c r="A78" s="704" t="s">
        <v>93</v>
      </c>
      <c r="B78" s="705">
        <v>12</v>
      </c>
      <c r="C78" s="706"/>
      <c r="D78" s="707" t="s">
        <v>173</v>
      </c>
      <c r="E78" s="706" t="s">
        <v>61</v>
      </c>
      <c r="F78" s="708">
        <v>41440</v>
      </c>
      <c r="G78" s="706" t="s">
        <v>597</v>
      </c>
      <c r="H78" s="709">
        <v>73760</v>
      </c>
      <c r="I78" s="710" t="s">
        <v>340</v>
      </c>
      <c r="J78" s="711">
        <v>50422226</v>
      </c>
      <c r="K78" s="725" t="s">
        <v>598</v>
      </c>
      <c r="L78" s="706" t="s">
        <v>599</v>
      </c>
      <c r="M78" s="713">
        <v>29613</v>
      </c>
      <c r="N78" s="714" t="s">
        <v>911</v>
      </c>
      <c r="O78" s="714">
        <v>33.777999999999999</v>
      </c>
      <c r="P78" s="714">
        <v>31.042999999999999</v>
      </c>
      <c r="Q78" s="714">
        <v>18.18</v>
      </c>
      <c r="R78" s="714">
        <v>0.25</v>
      </c>
      <c r="S78" s="714">
        <v>72.441999999999993</v>
      </c>
      <c r="T78" s="714">
        <v>68.724000000000004</v>
      </c>
      <c r="U78" s="732">
        <v>49.421999999999997</v>
      </c>
      <c r="V78" s="732">
        <v>42.427</v>
      </c>
      <c r="W78" s="732">
        <v>28.276</v>
      </c>
      <c r="X78" s="732">
        <v>18.375</v>
      </c>
      <c r="Y78" s="732">
        <v>8.7149999999999999</v>
      </c>
      <c r="Z78" s="732">
        <v>0.05</v>
      </c>
      <c r="AA78" s="732">
        <v>24.312999999999999</v>
      </c>
      <c r="AB78" s="732">
        <v>22.87</v>
      </c>
      <c r="AC78" s="704">
        <v>21.08</v>
      </c>
      <c r="AD78" s="704">
        <v>15.01</v>
      </c>
      <c r="AE78" s="704">
        <v>6.82</v>
      </c>
      <c r="AF78" s="715"/>
      <c r="AG78" s="704"/>
      <c r="AH78" s="715"/>
      <c r="AI78" s="715"/>
      <c r="AJ78" s="716"/>
      <c r="AK78" s="704"/>
      <c r="AL78" s="717">
        <f t="shared" si="31"/>
        <v>2.7349999999999994</v>
      </c>
      <c r="AM78" s="718">
        <v>2.5099999999999998</v>
      </c>
      <c r="AN78" s="718">
        <v>2.4700000000000002</v>
      </c>
      <c r="AO78" s="718">
        <f t="shared" si="48"/>
        <v>9.3810499999999983</v>
      </c>
      <c r="AP78" s="718">
        <f t="shared" si="33"/>
        <v>14.361049999999999</v>
      </c>
      <c r="AQ78" s="719">
        <v>5.6</v>
      </c>
      <c r="AR78" s="719">
        <v>5</v>
      </c>
      <c r="AS78" s="716">
        <v>28</v>
      </c>
      <c r="AT78" s="716">
        <v>0.6</v>
      </c>
      <c r="AU78" s="716">
        <v>28</v>
      </c>
      <c r="AV78" s="716">
        <f t="shared" si="39"/>
        <v>16.8</v>
      </c>
      <c r="AW78" s="716">
        <f t="shared" si="40"/>
        <v>140</v>
      </c>
      <c r="AX78" s="716">
        <f t="shared" si="47"/>
        <v>156.79999999999998</v>
      </c>
      <c r="AY78" s="716">
        <f t="shared" si="41"/>
        <v>0</v>
      </c>
      <c r="AZ78" s="716">
        <v>100</v>
      </c>
      <c r="BA78" s="716"/>
      <c r="BB78" s="720">
        <v>10000</v>
      </c>
      <c r="BC78" s="716">
        <v>52</v>
      </c>
      <c r="BD78" s="716">
        <v>10</v>
      </c>
      <c r="BE78" s="716">
        <v>80</v>
      </c>
      <c r="BF78" s="716"/>
      <c r="BG78" s="716"/>
      <c r="BH78" s="716"/>
      <c r="BI78" s="716"/>
      <c r="BJ78" s="744"/>
      <c r="BK78" s="744"/>
      <c r="BL78" s="744"/>
      <c r="BM78" s="745">
        <v>60</v>
      </c>
      <c r="BN78" s="722">
        <f t="shared" si="34"/>
        <v>473.16105000000005</v>
      </c>
      <c r="BO78" s="708"/>
      <c r="BP78" s="708"/>
      <c r="BQ78" s="724"/>
      <c r="BR78" s="703">
        <f t="shared" si="38"/>
        <v>500</v>
      </c>
      <c r="BS78" s="703">
        <f t="shared" si="42"/>
        <v>230</v>
      </c>
    </row>
    <row r="79" spans="1:71" s="726" customFormat="1">
      <c r="A79" s="704" t="s">
        <v>93</v>
      </c>
      <c r="B79" s="705">
        <v>13</v>
      </c>
      <c r="C79" s="706"/>
      <c r="D79" s="707" t="s">
        <v>247</v>
      </c>
      <c r="E79" s="706" t="s">
        <v>248</v>
      </c>
      <c r="F79" s="708">
        <v>43070</v>
      </c>
      <c r="G79" s="706" t="s">
        <v>451</v>
      </c>
      <c r="H79" s="709">
        <v>73760</v>
      </c>
      <c r="I79" s="710" t="s">
        <v>340</v>
      </c>
      <c r="J79" s="733">
        <v>63343788</v>
      </c>
      <c r="K79" s="743"/>
      <c r="L79" s="706" t="s">
        <v>452</v>
      </c>
      <c r="M79" s="713">
        <v>42931</v>
      </c>
      <c r="N79" s="714"/>
      <c r="O79" s="714">
        <v>35.887</v>
      </c>
      <c r="P79" s="714">
        <v>33.323999999999998</v>
      </c>
      <c r="Q79" s="714">
        <v>14.394</v>
      </c>
      <c r="R79" s="714">
        <v>0.25</v>
      </c>
      <c r="S79" s="714">
        <v>42.661000000000001</v>
      </c>
      <c r="T79" s="714">
        <v>38.442999999999998</v>
      </c>
      <c r="U79" s="714">
        <v>20.198</v>
      </c>
      <c r="V79" s="714">
        <v>12.884</v>
      </c>
      <c r="W79" s="714">
        <v>1.57</v>
      </c>
      <c r="X79" s="714"/>
      <c r="Y79" s="714"/>
      <c r="Z79" s="714"/>
      <c r="AA79" s="714"/>
      <c r="AB79" s="714"/>
      <c r="AC79" s="704"/>
      <c r="AD79" s="704"/>
      <c r="AE79" s="704"/>
      <c r="AF79" s="715"/>
      <c r="AG79" s="704"/>
      <c r="AH79" s="715"/>
      <c r="AI79" s="715"/>
      <c r="AJ79" s="716"/>
      <c r="AK79" s="704"/>
      <c r="AL79" s="717">
        <f t="shared" si="31"/>
        <v>2.5630000000000024</v>
      </c>
      <c r="AM79" s="718">
        <v>2.5099999999999998</v>
      </c>
      <c r="AN79" s="718">
        <v>2.4700000000000002</v>
      </c>
      <c r="AO79" s="718">
        <f t="shared" si="48"/>
        <v>8.7910900000000094</v>
      </c>
      <c r="AP79" s="718">
        <f t="shared" si="33"/>
        <v>13.77109000000001</v>
      </c>
      <c r="AQ79" s="719">
        <v>5.6</v>
      </c>
      <c r="AR79" s="719">
        <v>5</v>
      </c>
      <c r="AS79" s="716">
        <v>28</v>
      </c>
      <c r="AT79" s="716">
        <v>0.6</v>
      </c>
      <c r="AU79" s="716">
        <v>28</v>
      </c>
      <c r="AV79" s="716">
        <f t="shared" si="39"/>
        <v>16.8</v>
      </c>
      <c r="AW79" s="716">
        <f t="shared" si="40"/>
        <v>140</v>
      </c>
      <c r="AX79" s="716">
        <f t="shared" si="47"/>
        <v>156.79999999999998</v>
      </c>
      <c r="AY79" s="716">
        <f t="shared" si="41"/>
        <v>0</v>
      </c>
      <c r="AZ79" s="716">
        <v>100</v>
      </c>
      <c r="BA79" s="716"/>
      <c r="BB79" s="720">
        <v>8500</v>
      </c>
      <c r="BC79" s="716">
        <v>40</v>
      </c>
      <c r="BD79" s="716">
        <v>10</v>
      </c>
      <c r="BE79" s="716">
        <v>80</v>
      </c>
      <c r="BF79" s="716"/>
      <c r="BG79" s="716"/>
      <c r="BH79" s="716"/>
      <c r="BI79" s="716"/>
      <c r="BJ79" s="744"/>
      <c r="BK79" s="744"/>
      <c r="BL79" s="744"/>
      <c r="BM79" s="745"/>
      <c r="BN79" s="722">
        <f t="shared" si="34"/>
        <v>400.57109000000003</v>
      </c>
      <c r="BO79" s="708"/>
      <c r="BP79" s="708"/>
      <c r="BQ79" s="753"/>
      <c r="BR79" s="703">
        <f t="shared" si="38"/>
        <v>500</v>
      </c>
      <c r="BS79" s="703">
        <f t="shared" si="42"/>
        <v>231</v>
      </c>
    </row>
    <row r="80" spans="1:71" s="726" customFormat="1">
      <c r="A80" s="704" t="s">
        <v>93</v>
      </c>
      <c r="B80" s="705">
        <v>14</v>
      </c>
      <c r="C80" s="706"/>
      <c r="D80" s="707" t="s">
        <v>98</v>
      </c>
      <c r="E80" s="706" t="s">
        <v>99</v>
      </c>
      <c r="F80" s="708">
        <v>39052</v>
      </c>
      <c r="G80" s="706" t="s">
        <v>453</v>
      </c>
      <c r="H80" s="709">
        <v>70619</v>
      </c>
      <c r="I80" s="710" t="s">
        <v>323</v>
      </c>
      <c r="J80" s="711">
        <v>4412230</v>
      </c>
      <c r="K80" s="725" t="s">
        <v>454</v>
      </c>
      <c r="L80" s="706" t="s">
        <v>455</v>
      </c>
      <c r="M80" s="713">
        <v>26242</v>
      </c>
      <c r="N80" s="714"/>
      <c r="O80" s="714">
        <v>13.148999999999999</v>
      </c>
      <c r="P80" s="714">
        <v>10.641999999999999</v>
      </c>
      <c r="Q80" s="714">
        <v>5.0090000000000003</v>
      </c>
      <c r="R80" s="714">
        <v>0.25</v>
      </c>
      <c r="S80" s="714">
        <v>30.506</v>
      </c>
      <c r="T80" s="714">
        <v>27.555</v>
      </c>
      <c r="U80" s="714">
        <v>19.922000000000001</v>
      </c>
      <c r="V80" s="714">
        <v>16.981000000000002</v>
      </c>
      <c r="W80" s="714">
        <v>10.395</v>
      </c>
      <c r="X80" s="714">
        <v>7.1660000000000004</v>
      </c>
      <c r="Y80" s="714">
        <v>6.5919999999999996</v>
      </c>
      <c r="Z80" s="714">
        <v>0.05</v>
      </c>
      <c r="AA80" s="714">
        <v>13.067</v>
      </c>
      <c r="AB80" s="714">
        <v>10.76</v>
      </c>
      <c r="AC80" s="704">
        <v>10.64</v>
      </c>
      <c r="AD80" s="704">
        <v>8.81</v>
      </c>
      <c r="AE80" s="704">
        <v>5.8</v>
      </c>
      <c r="AF80" s="715">
        <v>3.61</v>
      </c>
      <c r="AG80" s="704"/>
      <c r="AH80" s="715"/>
      <c r="AI80" s="715"/>
      <c r="AJ80" s="716"/>
      <c r="AK80" s="704"/>
      <c r="AL80" s="717">
        <f t="shared" si="31"/>
        <v>2.5069999999999997</v>
      </c>
      <c r="AM80" s="718">
        <v>2.5099999999999998</v>
      </c>
      <c r="AN80" s="718">
        <v>2.4700000000000002</v>
      </c>
      <c r="AO80" s="718">
        <f t="shared" si="48"/>
        <v>8.5990099999999998</v>
      </c>
      <c r="AP80" s="718">
        <f t="shared" si="33"/>
        <v>13.57901</v>
      </c>
      <c r="AQ80" s="719">
        <v>5.6</v>
      </c>
      <c r="AR80" s="719">
        <v>5</v>
      </c>
      <c r="AS80" s="716">
        <v>28</v>
      </c>
      <c r="AT80" s="716">
        <v>0.6</v>
      </c>
      <c r="AU80" s="716">
        <v>28</v>
      </c>
      <c r="AV80" s="716">
        <f t="shared" si="39"/>
        <v>16.8</v>
      </c>
      <c r="AW80" s="716">
        <f t="shared" si="40"/>
        <v>140</v>
      </c>
      <c r="AX80" s="716">
        <f t="shared" si="47"/>
        <v>156.79999999999998</v>
      </c>
      <c r="AY80" s="716">
        <f t="shared" si="41"/>
        <v>0</v>
      </c>
      <c r="AZ80" s="716">
        <v>100</v>
      </c>
      <c r="BA80" s="716"/>
      <c r="BB80" s="720"/>
      <c r="BC80" s="716"/>
      <c r="BD80" s="716">
        <v>10</v>
      </c>
      <c r="BE80" s="716">
        <v>80</v>
      </c>
      <c r="BF80" s="716"/>
      <c r="BG80" s="716"/>
      <c r="BH80" s="716"/>
      <c r="BI80" s="716"/>
      <c r="BJ80" s="744"/>
      <c r="BK80" s="744"/>
      <c r="BL80" s="744"/>
      <c r="BM80" s="745"/>
      <c r="BN80" s="722">
        <f t="shared" si="34"/>
        <v>360.37900999999999</v>
      </c>
      <c r="BO80" s="708"/>
      <c r="BP80" s="708"/>
      <c r="BQ80" s="724"/>
      <c r="BR80" s="703">
        <f t="shared" si="38"/>
        <v>500</v>
      </c>
      <c r="BS80" s="703">
        <f t="shared" si="42"/>
        <v>232</v>
      </c>
    </row>
    <row r="81" spans="1:71" s="726" customFormat="1">
      <c r="A81" s="704" t="s">
        <v>93</v>
      </c>
      <c r="B81" s="705">
        <v>15</v>
      </c>
      <c r="C81" s="706"/>
      <c r="D81" s="732" t="s">
        <v>912</v>
      </c>
      <c r="E81" s="754" t="s">
        <v>1049</v>
      </c>
      <c r="F81" s="708">
        <v>45261</v>
      </c>
      <c r="G81" s="706" t="s">
        <v>1050</v>
      </c>
      <c r="H81" s="709">
        <v>73760</v>
      </c>
      <c r="I81" s="710" t="s">
        <v>340</v>
      </c>
      <c r="J81" s="711"/>
      <c r="K81" s="725" t="s">
        <v>913</v>
      </c>
      <c r="L81" s="706" t="s">
        <v>914</v>
      </c>
      <c r="M81" s="713">
        <v>33793</v>
      </c>
      <c r="N81" s="714"/>
      <c r="O81" s="726">
        <v>13.916</v>
      </c>
      <c r="P81" s="714">
        <v>7.2969999999999997</v>
      </c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714"/>
      <c r="AB81" s="714"/>
      <c r="AC81" s="704"/>
      <c r="AD81" s="704"/>
      <c r="AE81" s="704"/>
      <c r="AF81" s="715"/>
      <c r="AG81" s="704"/>
      <c r="AH81" s="715"/>
      <c r="AI81" s="715"/>
      <c r="AJ81" s="716"/>
      <c r="AK81" s="704"/>
      <c r="AL81" s="717">
        <f t="shared" si="31"/>
        <v>6.6190000000000007</v>
      </c>
      <c r="AM81" s="718">
        <v>2.5099999999999998</v>
      </c>
      <c r="AN81" s="718">
        <v>2.4700000000000002</v>
      </c>
      <c r="AO81" s="718">
        <f t="shared" si="48"/>
        <v>22.703170000000004</v>
      </c>
      <c r="AP81" s="718">
        <f t="shared" si="33"/>
        <v>27.683170000000004</v>
      </c>
      <c r="AQ81" s="719">
        <v>4.5999999999999996</v>
      </c>
      <c r="AR81" s="719">
        <v>3.9999999999999996</v>
      </c>
      <c r="AS81" s="716">
        <v>28</v>
      </c>
      <c r="AT81" s="716">
        <v>0.6</v>
      </c>
      <c r="AU81" s="716">
        <v>28</v>
      </c>
      <c r="AV81" s="716">
        <f t="shared" si="39"/>
        <v>16.8</v>
      </c>
      <c r="AW81" s="716">
        <f t="shared" si="40"/>
        <v>111.99999999999999</v>
      </c>
      <c r="AX81" s="716">
        <f t="shared" ref="AX81" si="49">AQ81*AS81</f>
        <v>128.79999999999998</v>
      </c>
      <c r="AY81" s="716">
        <f t="shared" ref="AY81" si="50">AX81-(AV81+AW81)</f>
        <v>0</v>
      </c>
      <c r="AZ81" s="716">
        <v>100</v>
      </c>
      <c r="BA81" s="716"/>
      <c r="BB81" s="720">
        <v>10000</v>
      </c>
      <c r="BC81" s="716">
        <v>52</v>
      </c>
      <c r="BD81" s="716">
        <v>10</v>
      </c>
      <c r="BE81" s="716">
        <v>80</v>
      </c>
      <c r="BF81" s="716"/>
      <c r="BG81" s="716"/>
      <c r="BH81" s="716"/>
      <c r="BI81" s="716"/>
      <c r="BJ81" s="744"/>
      <c r="BK81" s="744"/>
      <c r="BL81" s="744"/>
      <c r="BM81" s="745"/>
      <c r="BN81" s="722">
        <f t="shared" si="34"/>
        <v>398.48316999999997</v>
      </c>
      <c r="BO81" s="708"/>
      <c r="BP81" s="708"/>
      <c r="BQ81" s="724"/>
      <c r="BR81" s="703">
        <f t="shared" si="38"/>
        <v>399.99999999999994</v>
      </c>
      <c r="BS81" s="703">
        <f t="shared" si="42"/>
        <v>233</v>
      </c>
    </row>
    <row r="82" spans="1:71" s="726" customFormat="1">
      <c r="A82" s="704" t="s">
        <v>93</v>
      </c>
      <c r="B82" s="705">
        <v>16</v>
      </c>
      <c r="C82" s="706"/>
      <c r="D82" s="707" t="s">
        <v>100</v>
      </c>
      <c r="E82" s="706" t="s">
        <v>101</v>
      </c>
      <c r="F82" s="708">
        <v>38718</v>
      </c>
      <c r="G82" s="706" t="s">
        <v>347</v>
      </c>
      <c r="H82" s="709">
        <v>70619</v>
      </c>
      <c r="I82" s="710" t="s">
        <v>323</v>
      </c>
      <c r="J82" s="711" t="s">
        <v>456</v>
      </c>
      <c r="K82" s="725"/>
      <c r="L82" s="706" t="s">
        <v>457</v>
      </c>
      <c r="M82" s="713">
        <v>24888</v>
      </c>
      <c r="N82" s="714"/>
      <c r="O82" s="714">
        <v>14.776999999999999</v>
      </c>
      <c r="P82" s="714">
        <v>13.492000000000001</v>
      </c>
      <c r="Q82" s="714">
        <v>4.5469999999999997</v>
      </c>
      <c r="R82" s="714">
        <v>0.25</v>
      </c>
      <c r="S82" s="714">
        <v>10.077</v>
      </c>
      <c r="T82" s="714">
        <v>8.5559999999999992</v>
      </c>
      <c r="U82" s="714">
        <v>8.5559999999999992</v>
      </c>
      <c r="V82" s="714">
        <v>8.5549999999999997</v>
      </c>
      <c r="W82" s="714">
        <v>8.5540000000000003</v>
      </c>
      <c r="X82" s="714">
        <v>5.9080000000000004</v>
      </c>
      <c r="Y82" s="714">
        <v>4.6669999999999998</v>
      </c>
      <c r="Z82" s="714">
        <v>0.05</v>
      </c>
      <c r="AA82" s="714">
        <v>22.323</v>
      </c>
      <c r="AB82" s="714">
        <v>20.55</v>
      </c>
      <c r="AC82" s="704">
        <v>18.059999999999999</v>
      </c>
      <c r="AD82" s="704">
        <v>15.23</v>
      </c>
      <c r="AE82" s="704">
        <v>9.7799999999999994</v>
      </c>
      <c r="AF82" s="715">
        <v>5.17</v>
      </c>
      <c r="AG82" s="704"/>
      <c r="AH82" s="715"/>
      <c r="AI82" s="715"/>
      <c r="AJ82" s="716"/>
      <c r="AK82" s="704"/>
      <c r="AL82" s="717">
        <f t="shared" si="31"/>
        <v>1.2849999999999984</v>
      </c>
      <c r="AM82" s="718">
        <v>2.5099999999999998</v>
      </c>
      <c r="AN82" s="718">
        <v>2.4700000000000002</v>
      </c>
      <c r="AO82" s="718">
        <f t="shared" si="48"/>
        <v>4.4075499999999943</v>
      </c>
      <c r="AP82" s="718">
        <f t="shared" si="33"/>
        <v>9.3875499999999938</v>
      </c>
      <c r="AQ82" s="719">
        <v>4.5999999999999996</v>
      </c>
      <c r="AR82" s="719">
        <v>3.9999999999999996</v>
      </c>
      <c r="AS82" s="716">
        <v>28</v>
      </c>
      <c r="AT82" s="716">
        <v>0.6</v>
      </c>
      <c r="AU82" s="716">
        <v>28</v>
      </c>
      <c r="AV82" s="716">
        <f t="shared" si="39"/>
        <v>16.8</v>
      </c>
      <c r="AW82" s="716">
        <f t="shared" si="40"/>
        <v>111.99999999999999</v>
      </c>
      <c r="AX82" s="716">
        <f t="shared" si="47"/>
        <v>128.79999999999998</v>
      </c>
      <c r="AY82" s="716">
        <f t="shared" si="41"/>
        <v>0</v>
      </c>
      <c r="AZ82" s="716">
        <v>100</v>
      </c>
      <c r="BA82" s="716"/>
      <c r="BB82" s="720"/>
      <c r="BC82" s="716"/>
      <c r="BD82" s="716">
        <v>10</v>
      </c>
      <c r="BE82" s="716">
        <v>80</v>
      </c>
      <c r="BF82" s="716"/>
      <c r="BG82" s="716"/>
      <c r="BH82" s="716"/>
      <c r="BI82" s="716"/>
      <c r="BJ82" s="744"/>
      <c r="BK82" s="744"/>
      <c r="BL82" s="744"/>
      <c r="BM82" s="745"/>
      <c r="BN82" s="722">
        <f t="shared" si="34"/>
        <v>328.18754999999999</v>
      </c>
      <c r="BO82" s="708"/>
      <c r="BP82" s="708"/>
      <c r="BQ82" s="724"/>
      <c r="BR82" s="703">
        <f t="shared" si="38"/>
        <v>399.99999999999994</v>
      </c>
      <c r="BS82" s="703">
        <f t="shared" si="42"/>
        <v>234</v>
      </c>
    </row>
    <row r="83" spans="1:71" s="726" customFormat="1">
      <c r="A83" s="704" t="s">
        <v>93</v>
      </c>
      <c r="B83" s="705">
        <v>17</v>
      </c>
      <c r="C83" s="706"/>
      <c r="D83" s="707" t="s">
        <v>102</v>
      </c>
      <c r="E83" s="706" t="s">
        <v>103</v>
      </c>
      <c r="F83" s="708">
        <v>40878</v>
      </c>
      <c r="G83" s="706" t="s">
        <v>458</v>
      </c>
      <c r="H83" s="709">
        <v>70199</v>
      </c>
      <c r="I83" s="710" t="s">
        <v>323</v>
      </c>
      <c r="J83" s="711">
        <v>8261453</v>
      </c>
      <c r="K83" s="730"/>
      <c r="L83" s="706" t="s">
        <v>915</v>
      </c>
      <c r="M83" s="713">
        <v>24147</v>
      </c>
      <c r="N83" s="714"/>
      <c r="O83" s="714">
        <v>42.244999999999997</v>
      </c>
      <c r="P83" s="714">
        <v>36.610999999999997</v>
      </c>
      <c r="Q83" s="714">
        <v>17.379000000000001</v>
      </c>
      <c r="R83" s="714">
        <v>0.25</v>
      </c>
      <c r="S83" s="714">
        <v>47.999000000000002</v>
      </c>
      <c r="T83" s="714">
        <v>43.430999999999997</v>
      </c>
      <c r="U83" s="714">
        <v>35.317</v>
      </c>
      <c r="V83" s="714">
        <v>27.064</v>
      </c>
      <c r="W83" s="714">
        <v>17.338999999999999</v>
      </c>
      <c r="X83" s="714">
        <v>10.130000000000001</v>
      </c>
      <c r="Y83" s="714">
        <v>6.5919999999999996</v>
      </c>
      <c r="Z83" s="714">
        <v>0.05</v>
      </c>
      <c r="AA83" s="714">
        <v>15.451000000000001</v>
      </c>
      <c r="AB83" s="714">
        <v>11.83</v>
      </c>
      <c r="AC83" s="704">
        <v>9.09</v>
      </c>
      <c r="AD83" s="704">
        <v>6.17</v>
      </c>
      <c r="AE83" s="704"/>
      <c r="AF83" s="715"/>
      <c r="AG83" s="704"/>
      <c r="AH83" s="715"/>
      <c r="AI83" s="715"/>
      <c r="AJ83" s="716"/>
      <c r="AK83" s="704"/>
      <c r="AL83" s="717">
        <f t="shared" si="31"/>
        <v>5.6340000000000003</v>
      </c>
      <c r="AM83" s="718">
        <v>2.5099999999999998</v>
      </c>
      <c r="AN83" s="718">
        <v>2.4700000000000002</v>
      </c>
      <c r="AO83" s="718">
        <f t="shared" si="48"/>
        <v>19.324620000000003</v>
      </c>
      <c r="AP83" s="718">
        <f t="shared" si="33"/>
        <v>24.304620000000003</v>
      </c>
      <c r="AQ83" s="719">
        <v>4.5999999999999996</v>
      </c>
      <c r="AR83" s="719">
        <v>3.9999999999999996</v>
      </c>
      <c r="AS83" s="716">
        <v>28</v>
      </c>
      <c r="AT83" s="716">
        <v>0.6</v>
      </c>
      <c r="AU83" s="716">
        <v>28</v>
      </c>
      <c r="AV83" s="716">
        <f t="shared" si="39"/>
        <v>16.8</v>
      </c>
      <c r="AW83" s="716">
        <f t="shared" si="40"/>
        <v>111.99999999999999</v>
      </c>
      <c r="AX83" s="716">
        <f t="shared" si="47"/>
        <v>128.79999999999998</v>
      </c>
      <c r="AY83" s="716">
        <f t="shared" si="41"/>
        <v>0</v>
      </c>
      <c r="AZ83" s="716">
        <v>100</v>
      </c>
      <c r="BA83" s="716"/>
      <c r="BB83" s="720">
        <v>9000</v>
      </c>
      <c r="BC83" s="716">
        <v>42</v>
      </c>
      <c r="BD83" s="716">
        <v>10</v>
      </c>
      <c r="BE83" s="716">
        <v>80</v>
      </c>
      <c r="BF83" s="716"/>
      <c r="BG83" s="716"/>
      <c r="BH83" s="716"/>
      <c r="BI83" s="716"/>
      <c r="BJ83" s="744">
        <v>10</v>
      </c>
      <c r="BK83" s="744"/>
      <c r="BL83" s="744"/>
      <c r="BM83" s="745"/>
      <c r="BN83" s="722">
        <f t="shared" si="34"/>
        <v>395.10462000000001</v>
      </c>
      <c r="BO83" s="708"/>
      <c r="BP83" s="708"/>
      <c r="BQ83" s="724"/>
      <c r="BR83" s="703">
        <f t="shared" si="38"/>
        <v>399.99999999999994</v>
      </c>
      <c r="BS83" s="703">
        <f t="shared" si="42"/>
        <v>235</v>
      </c>
    </row>
    <row r="84" spans="1:71" s="726" customFormat="1">
      <c r="A84" s="704" t="s">
        <v>93</v>
      </c>
      <c r="B84" s="705">
        <v>18</v>
      </c>
      <c r="C84" s="706"/>
      <c r="D84" s="707" t="s">
        <v>104</v>
      </c>
      <c r="E84" s="706" t="s">
        <v>105</v>
      </c>
      <c r="F84" s="708">
        <v>36130</v>
      </c>
      <c r="G84" s="706" t="s">
        <v>459</v>
      </c>
      <c r="H84" s="709">
        <v>70469</v>
      </c>
      <c r="I84" s="710"/>
      <c r="J84" s="711" t="s">
        <v>460</v>
      </c>
      <c r="K84" s="725" t="s">
        <v>461</v>
      </c>
      <c r="L84" s="706" t="s">
        <v>462</v>
      </c>
      <c r="M84" s="713">
        <v>17805</v>
      </c>
      <c r="N84" s="714"/>
      <c r="O84" s="714"/>
      <c r="P84" s="714"/>
      <c r="Q84" s="714">
        <v>3.173</v>
      </c>
      <c r="R84" s="714">
        <v>0.25</v>
      </c>
      <c r="S84" s="714">
        <v>33.183</v>
      </c>
      <c r="T84" s="714">
        <v>32.497</v>
      </c>
      <c r="U84" s="714">
        <v>28.698</v>
      </c>
      <c r="V84" s="714">
        <v>24.645</v>
      </c>
      <c r="W84" s="714">
        <v>16.14</v>
      </c>
      <c r="X84" s="714">
        <v>10.933</v>
      </c>
      <c r="Y84" s="714">
        <v>7.9989999999999997</v>
      </c>
      <c r="Z84" s="714">
        <v>0.05</v>
      </c>
      <c r="AA84" s="714">
        <v>17.959</v>
      </c>
      <c r="AB84" s="714">
        <v>13.45</v>
      </c>
      <c r="AC84" s="704">
        <v>9.98</v>
      </c>
      <c r="AD84" s="704">
        <v>6.62</v>
      </c>
      <c r="AE84" s="704">
        <v>5.07</v>
      </c>
      <c r="AF84" s="715">
        <v>1.77</v>
      </c>
      <c r="AG84" s="704"/>
      <c r="AH84" s="715"/>
      <c r="AI84" s="715"/>
      <c r="AJ84" s="716"/>
      <c r="AK84" s="704"/>
      <c r="AL84" s="717"/>
      <c r="AM84" s="718"/>
      <c r="AN84" s="718"/>
      <c r="AO84" s="718"/>
      <c r="AP84" s="718"/>
      <c r="AR84" s="859">
        <v>4</v>
      </c>
      <c r="AV84" s="716"/>
      <c r="AW84" s="716"/>
      <c r="AX84" s="716" t="e">
        <f>#REF!*#REF!</f>
        <v>#REF!</v>
      </c>
      <c r="AY84" s="716" t="e">
        <f t="shared" si="41"/>
        <v>#REF!</v>
      </c>
      <c r="AZ84" s="716"/>
      <c r="BA84" s="716"/>
      <c r="BB84" s="720"/>
      <c r="BC84" s="716"/>
      <c r="BD84" s="716"/>
      <c r="BE84" s="716"/>
      <c r="BF84" s="716"/>
      <c r="BG84" s="716"/>
      <c r="BH84" s="716"/>
      <c r="BI84" s="716"/>
      <c r="BJ84" s="744"/>
      <c r="BK84" s="716"/>
      <c r="BL84" s="744"/>
      <c r="BM84" s="745"/>
      <c r="BN84" s="722">
        <f t="shared" si="34"/>
        <v>0</v>
      </c>
      <c r="BO84" s="708"/>
      <c r="BP84" s="708"/>
      <c r="BQ84" s="724"/>
      <c r="BR84" s="703">
        <f t="shared" si="38"/>
        <v>400</v>
      </c>
      <c r="BS84" s="703">
        <f t="shared" si="42"/>
        <v>236</v>
      </c>
    </row>
    <row r="85" spans="1:71" s="726" customFormat="1">
      <c r="A85" s="704" t="s">
        <v>93</v>
      </c>
      <c r="B85" s="705">
        <v>19</v>
      </c>
      <c r="C85" s="706"/>
      <c r="D85" s="707" t="s">
        <v>294</v>
      </c>
      <c r="E85" s="706" t="s">
        <v>295</v>
      </c>
      <c r="F85" s="708">
        <v>43556</v>
      </c>
      <c r="G85" s="706" t="s">
        <v>463</v>
      </c>
      <c r="H85" s="709">
        <v>70619</v>
      </c>
      <c r="I85" s="710" t="s">
        <v>323</v>
      </c>
      <c r="J85" s="711"/>
      <c r="K85" s="712" t="s">
        <v>464</v>
      </c>
      <c r="L85" s="706" t="s">
        <v>916</v>
      </c>
      <c r="M85" s="713">
        <v>28402</v>
      </c>
      <c r="N85" s="714" t="s">
        <v>465</v>
      </c>
      <c r="O85" s="714">
        <v>15.798</v>
      </c>
      <c r="P85" s="714">
        <v>15.452999999999999</v>
      </c>
      <c r="Q85" s="714">
        <v>6.9850000000000003</v>
      </c>
      <c r="R85" s="714">
        <v>0.25</v>
      </c>
      <c r="S85" s="714">
        <v>57.063000000000002</v>
      </c>
      <c r="T85" s="714">
        <v>55.643000000000001</v>
      </c>
      <c r="U85" s="714">
        <v>45.518000000000001</v>
      </c>
      <c r="V85" s="714">
        <v>43.457000000000001</v>
      </c>
      <c r="W85" s="714">
        <v>34.475000000000001</v>
      </c>
      <c r="X85" s="714">
        <v>24.492999999999999</v>
      </c>
      <c r="Y85" s="714">
        <v>16.265000000000001</v>
      </c>
      <c r="Z85" s="714">
        <v>0.05</v>
      </c>
      <c r="AA85" s="714">
        <v>15.702</v>
      </c>
      <c r="AB85" s="714">
        <v>10.72</v>
      </c>
      <c r="AC85" s="704">
        <v>6.34</v>
      </c>
      <c r="AD85" s="704">
        <v>4.26</v>
      </c>
      <c r="AE85" s="704">
        <v>2.57</v>
      </c>
      <c r="AF85" s="715">
        <v>0.32</v>
      </c>
      <c r="AG85" s="704"/>
      <c r="AH85" s="715"/>
      <c r="AI85" s="715"/>
      <c r="AJ85" s="716"/>
      <c r="AK85" s="704"/>
      <c r="AL85" s="717">
        <f t="shared" si="31"/>
        <v>0.34500000000000064</v>
      </c>
      <c r="AM85" s="718">
        <v>2.5099999999999998</v>
      </c>
      <c r="AN85" s="718">
        <v>2.4700000000000002</v>
      </c>
      <c r="AO85" s="718">
        <f t="shared" si="48"/>
        <v>1.1833500000000023</v>
      </c>
      <c r="AP85" s="718">
        <f t="shared" si="33"/>
        <v>6.163350000000003</v>
      </c>
      <c r="AQ85" s="719">
        <v>4.5999999999999996</v>
      </c>
      <c r="AR85" s="719">
        <v>3.9999999999999996</v>
      </c>
      <c r="AS85" s="716">
        <v>28</v>
      </c>
      <c r="AT85" s="716">
        <v>0.6</v>
      </c>
      <c r="AU85" s="716">
        <v>28</v>
      </c>
      <c r="AV85" s="716">
        <f t="shared" si="39"/>
        <v>16.8</v>
      </c>
      <c r="AW85" s="716">
        <f t="shared" si="40"/>
        <v>111.99999999999999</v>
      </c>
      <c r="AX85" s="716">
        <f t="shared" si="47"/>
        <v>128.79999999999998</v>
      </c>
      <c r="AY85" s="716">
        <f t="shared" si="41"/>
        <v>0</v>
      </c>
      <c r="AZ85" s="716">
        <v>100</v>
      </c>
      <c r="BA85" s="716"/>
      <c r="BB85" s="720">
        <v>10000</v>
      </c>
      <c r="BC85" s="716">
        <v>52</v>
      </c>
      <c r="BD85" s="716">
        <v>10</v>
      </c>
      <c r="BE85" s="716">
        <v>80</v>
      </c>
      <c r="BF85" s="716"/>
      <c r="BG85" s="716"/>
      <c r="BH85" s="716"/>
      <c r="BI85" s="716"/>
      <c r="BJ85" s="744"/>
      <c r="BK85" s="744"/>
      <c r="BL85" s="744"/>
      <c r="BM85" s="745"/>
      <c r="BN85" s="722">
        <f t="shared" si="34"/>
        <v>376.96334999999999</v>
      </c>
      <c r="BO85" s="708"/>
      <c r="BP85" s="708"/>
      <c r="BQ85" s="724"/>
      <c r="BR85" s="703">
        <f t="shared" si="38"/>
        <v>399.99999999999994</v>
      </c>
      <c r="BS85" s="703">
        <f t="shared" si="42"/>
        <v>237</v>
      </c>
    </row>
    <row r="86" spans="1:71" s="726" customFormat="1">
      <c r="A86" s="704" t="s">
        <v>93</v>
      </c>
      <c r="B86" s="705">
        <v>20</v>
      </c>
      <c r="C86" s="706"/>
      <c r="D86" s="707" t="s">
        <v>106</v>
      </c>
      <c r="E86" s="706" t="s">
        <v>107</v>
      </c>
      <c r="F86" s="708">
        <v>39264</v>
      </c>
      <c r="G86" s="706" t="s">
        <v>466</v>
      </c>
      <c r="H86" s="709">
        <v>70619</v>
      </c>
      <c r="I86" s="710" t="s">
        <v>323</v>
      </c>
      <c r="J86" s="733">
        <v>4792802</v>
      </c>
      <c r="K86" s="743"/>
      <c r="L86" s="706" t="s">
        <v>467</v>
      </c>
      <c r="M86" s="713"/>
      <c r="N86" s="714"/>
      <c r="O86" s="714">
        <v>39.287999999999997</v>
      </c>
      <c r="P86" s="714">
        <v>33.732999999999997</v>
      </c>
      <c r="Q86" s="714">
        <v>20.204999999999998</v>
      </c>
      <c r="R86" s="714">
        <v>0.25</v>
      </c>
      <c r="S86" s="714">
        <v>77.281999999999996</v>
      </c>
      <c r="T86" s="714">
        <v>70.924000000000007</v>
      </c>
      <c r="U86" s="714">
        <v>44.941000000000003</v>
      </c>
      <c r="V86" s="714">
        <v>38.753999999999998</v>
      </c>
      <c r="W86" s="714">
        <v>28.472999999999999</v>
      </c>
      <c r="X86" s="714">
        <v>20.155000000000001</v>
      </c>
      <c r="Y86" s="714">
        <v>16.132999999999999</v>
      </c>
      <c r="Z86" s="714">
        <v>0.05</v>
      </c>
      <c r="AA86" s="714">
        <v>50.595999999999997</v>
      </c>
      <c r="AB86" s="714">
        <v>31.37</v>
      </c>
      <c r="AC86" s="704">
        <v>23.18</v>
      </c>
      <c r="AD86" s="704">
        <v>17.12</v>
      </c>
      <c r="AE86" s="704">
        <v>9.3000000000000007</v>
      </c>
      <c r="AF86" s="715">
        <v>4.24</v>
      </c>
      <c r="AG86" s="704"/>
      <c r="AH86" s="715"/>
      <c r="AI86" s="715"/>
      <c r="AJ86" s="716"/>
      <c r="AK86" s="704"/>
      <c r="AL86" s="717">
        <f t="shared" si="31"/>
        <v>5.5549999999999997</v>
      </c>
      <c r="AM86" s="718">
        <v>2.5099999999999998</v>
      </c>
      <c r="AN86" s="718">
        <v>2.4700000000000002</v>
      </c>
      <c r="AO86" s="718">
        <f t="shared" si="48"/>
        <v>19.053650000000001</v>
      </c>
      <c r="AP86" s="718">
        <f t="shared" si="33"/>
        <v>24.033650000000002</v>
      </c>
      <c r="AQ86" s="719">
        <v>4.5999999999999996</v>
      </c>
      <c r="AR86" s="719">
        <v>3.9999999999999996</v>
      </c>
      <c r="AS86" s="716">
        <v>28</v>
      </c>
      <c r="AT86" s="716">
        <v>0.6</v>
      </c>
      <c r="AU86" s="716">
        <v>28</v>
      </c>
      <c r="AV86" s="716">
        <f t="shared" si="39"/>
        <v>16.8</v>
      </c>
      <c r="AW86" s="716">
        <f t="shared" si="40"/>
        <v>111.99999999999999</v>
      </c>
      <c r="AX86" s="716">
        <f t="shared" si="47"/>
        <v>128.79999999999998</v>
      </c>
      <c r="AY86" s="716">
        <f t="shared" si="41"/>
        <v>0</v>
      </c>
      <c r="AZ86" s="716">
        <v>100</v>
      </c>
      <c r="BA86" s="716"/>
      <c r="BB86" s="720">
        <v>8000</v>
      </c>
      <c r="BC86" s="716">
        <v>37.5</v>
      </c>
      <c r="BD86" s="716">
        <v>10</v>
      </c>
      <c r="BE86" s="716">
        <v>80</v>
      </c>
      <c r="BF86" s="716"/>
      <c r="BG86" s="716"/>
      <c r="BH86" s="716"/>
      <c r="BI86" s="716"/>
      <c r="BJ86" s="744"/>
      <c r="BK86" s="744"/>
      <c r="BL86" s="744"/>
      <c r="BM86" s="745">
        <v>120</v>
      </c>
      <c r="BN86" s="722">
        <f t="shared" si="34"/>
        <v>500.33365000000003</v>
      </c>
      <c r="BO86" s="708"/>
      <c r="BP86" s="708"/>
      <c r="BQ86" s="724"/>
      <c r="BR86" s="703">
        <f t="shared" si="38"/>
        <v>399.99999999999994</v>
      </c>
      <c r="BS86" s="703">
        <f t="shared" si="42"/>
        <v>238</v>
      </c>
    </row>
    <row r="87" spans="1:71" s="726" customFormat="1">
      <c r="A87" s="704" t="s">
        <v>93</v>
      </c>
      <c r="B87" s="705">
        <v>21</v>
      </c>
      <c r="C87" s="706"/>
      <c r="D87" s="707" t="s">
        <v>271</v>
      </c>
      <c r="E87" s="706" t="s">
        <v>240</v>
      </c>
      <c r="F87" s="708">
        <v>42705</v>
      </c>
      <c r="G87" s="706" t="s">
        <v>917</v>
      </c>
      <c r="H87" s="709">
        <v>70619</v>
      </c>
      <c r="I87" s="710" t="s">
        <v>323</v>
      </c>
      <c r="J87" s="711"/>
      <c r="K87" s="712" t="s">
        <v>468</v>
      </c>
      <c r="L87" s="706" t="s">
        <v>469</v>
      </c>
      <c r="M87" s="713">
        <v>30450</v>
      </c>
      <c r="N87" s="714"/>
      <c r="O87" s="714">
        <v>19.821000000000002</v>
      </c>
      <c r="P87" s="714">
        <v>16.773</v>
      </c>
      <c r="Q87" s="714">
        <v>6.1180000000000003</v>
      </c>
      <c r="R87" s="714">
        <v>0.25</v>
      </c>
      <c r="S87" s="714">
        <v>37.677</v>
      </c>
      <c r="T87" s="714">
        <v>35.021000000000001</v>
      </c>
      <c r="U87" s="714">
        <v>24.571999999999999</v>
      </c>
      <c r="V87" s="714">
        <v>22.491</v>
      </c>
      <c r="W87" s="714">
        <v>16.417999999999999</v>
      </c>
      <c r="X87" s="714">
        <v>15.27</v>
      </c>
      <c r="Y87" s="714"/>
      <c r="Z87" s="714"/>
      <c r="AA87" s="714"/>
      <c r="AB87" s="714"/>
      <c r="AC87" s="704"/>
      <c r="AD87" s="704"/>
      <c r="AE87" s="704"/>
      <c r="AF87" s="715"/>
      <c r="AG87" s="704"/>
      <c r="AH87" s="715"/>
      <c r="AI87" s="715"/>
      <c r="AJ87" s="716"/>
      <c r="AK87" s="704"/>
      <c r="AL87" s="717">
        <f t="shared" si="31"/>
        <v>3.0480000000000018</v>
      </c>
      <c r="AM87" s="718">
        <v>2.5099999999999998</v>
      </c>
      <c r="AN87" s="718">
        <v>2.4700000000000002</v>
      </c>
      <c r="AO87" s="718">
        <f t="shared" si="48"/>
        <v>10.454640000000007</v>
      </c>
      <c r="AP87" s="718">
        <f t="shared" si="33"/>
        <v>15.434640000000007</v>
      </c>
      <c r="AQ87" s="719">
        <v>4.5999999999999996</v>
      </c>
      <c r="AR87" s="719">
        <v>3.9999999999999996</v>
      </c>
      <c r="AS87" s="716">
        <v>28</v>
      </c>
      <c r="AT87" s="716">
        <v>0.6</v>
      </c>
      <c r="AU87" s="716">
        <v>28</v>
      </c>
      <c r="AV87" s="716">
        <f t="shared" si="39"/>
        <v>16.8</v>
      </c>
      <c r="AW87" s="716">
        <f t="shared" si="40"/>
        <v>111.99999999999999</v>
      </c>
      <c r="AX87" s="716">
        <f t="shared" si="47"/>
        <v>128.79999999999998</v>
      </c>
      <c r="AY87" s="716">
        <f t="shared" si="41"/>
        <v>0</v>
      </c>
      <c r="AZ87" s="716">
        <f>100</f>
        <v>100</v>
      </c>
      <c r="BA87" s="716"/>
      <c r="BB87" s="720"/>
      <c r="BC87" s="716"/>
      <c r="BD87" s="716">
        <v>10</v>
      </c>
      <c r="BE87" s="716">
        <v>80</v>
      </c>
      <c r="BF87" s="716"/>
      <c r="BG87" s="716"/>
      <c r="BH87" s="716"/>
      <c r="BI87" s="716"/>
      <c r="BJ87" s="744"/>
      <c r="BK87" s="744"/>
      <c r="BL87" s="744"/>
      <c r="BM87" s="745">
        <v>120</v>
      </c>
      <c r="BN87" s="722">
        <f t="shared" si="34"/>
        <v>454.23464000000001</v>
      </c>
      <c r="BO87" s="708"/>
      <c r="BP87" s="708"/>
      <c r="BQ87" s="724"/>
      <c r="BR87" s="703">
        <f t="shared" si="38"/>
        <v>399.99999999999994</v>
      </c>
      <c r="BS87" s="703">
        <f t="shared" si="42"/>
        <v>239</v>
      </c>
    </row>
    <row r="88" spans="1:71" s="726" customFormat="1">
      <c r="A88" s="705" t="s">
        <v>93</v>
      </c>
      <c r="B88" s="705">
        <v>22</v>
      </c>
      <c r="C88" s="705"/>
      <c r="D88" s="707" t="s">
        <v>918</v>
      </c>
      <c r="E88" s="706" t="s">
        <v>447</v>
      </c>
      <c r="F88" s="708">
        <v>45078</v>
      </c>
      <c r="G88" s="706" t="s">
        <v>919</v>
      </c>
      <c r="H88" s="709">
        <v>70619</v>
      </c>
      <c r="I88" s="710" t="s">
        <v>323</v>
      </c>
      <c r="J88" s="711"/>
      <c r="K88" s="712" t="s">
        <v>920</v>
      </c>
      <c r="L88" s="706" t="s">
        <v>921</v>
      </c>
      <c r="M88" s="713">
        <v>30791</v>
      </c>
      <c r="N88" s="714"/>
      <c r="O88" s="714">
        <v>25.12</v>
      </c>
      <c r="P88" s="714">
        <v>23.651</v>
      </c>
      <c r="Q88" s="714">
        <v>19.933</v>
      </c>
      <c r="R88" s="714">
        <v>0.25</v>
      </c>
      <c r="S88" s="714">
        <v>87.441999999999993</v>
      </c>
      <c r="T88" s="714">
        <v>78.87</v>
      </c>
      <c r="U88" s="714">
        <v>62.265999999999998</v>
      </c>
      <c r="V88" s="714">
        <v>59.338999999999999</v>
      </c>
      <c r="W88" s="714">
        <v>31.404</v>
      </c>
      <c r="X88" s="714">
        <v>20.957999999999998</v>
      </c>
      <c r="Y88" s="714">
        <v>11.862</v>
      </c>
      <c r="Z88" s="714">
        <v>0.05</v>
      </c>
      <c r="AA88" s="714">
        <v>53.348999999999997</v>
      </c>
      <c r="AB88" s="714">
        <v>47.34</v>
      </c>
      <c r="AC88" s="704">
        <v>41.64</v>
      </c>
      <c r="AD88" s="704">
        <v>33.299999999999997</v>
      </c>
      <c r="AE88" s="704">
        <v>26.82</v>
      </c>
      <c r="AF88" s="715">
        <v>18.5</v>
      </c>
      <c r="AG88" s="704"/>
      <c r="AH88" s="715"/>
      <c r="AI88" s="715"/>
      <c r="AJ88" s="716"/>
      <c r="AK88" s="704"/>
      <c r="AL88" s="717">
        <f t="shared" si="31"/>
        <v>1.4690000000000012</v>
      </c>
      <c r="AM88" s="718">
        <v>2.5099999999999998</v>
      </c>
      <c r="AN88" s="718">
        <v>2.4700000000000002</v>
      </c>
      <c r="AO88" s="718">
        <f t="shared" si="48"/>
        <v>5.0386700000000042</v>
      </c>
      <c r="AP88" s="718">
        <f t="shared" si="33"/>
        <v>10.018670000000004</v>
      </c>
      <c r="AQ88" s="719">
        <v>4.5999999999999996</v>
      </c>
      <c r="AR88" s="719">
        <v>3.9999999999999996</v>
      </c>
      <c r="AS88" s="716">
        <v>28</v>
      </c>
      <c r="AT88" s="716">
        <v>0.6</v>
      </c>
      <c r="AU88" s="716">
        <v>28</v>
      </c>
      <c r="AV88" s="716">
        <f t="shared" si="39"/>
        <v>16.8</v>
      </c>
      <c r="AW88" s="716">
        <f t="shared" si="40"/>
        <v>111.99999999999999</v>
      </c>
      <c r="AX88" s="716">
        <f>AQ88*AS88</f>
        <v>128.79999999999998</v>
      </c>
      <c r="AY88" s="716">
        <f t="shared" si="41"/>
        <v>0</v>
      </c>
      <c r="AZ88" s="716">
        <f>100</f>
        <v>100</v>
      </c>
      <c r="BA88" s="716"/>
      <c r="BB88" s="720"/>
      <c r="BC88" s="716"/>
      <c r="BD88" s="716">
        <v>10</v>
      </c>
      <c r="BE88" s="716">
        <v>80</v>
      </c>
      <c r="BF88" s="716"/>
      <c r="BG88" s="716"/>
      <c r="BH88" s="716"/>
      <c r="BI88" s="716"/>
      <c r="BJ88" s="744"/>
      <c r="BK88" s="744"/>
      <c r="BL88" s="744"/>
      <c r="BM88" s="745"/>
      <c r="BN88" s="722">
        <f t="shared" si="34"/>
        <v>328.81867</v>
      </c>
      <c r="BO88" s="708"/>
      <c r="BP88" s="708"/>
      <c r="BQ88" s="724"/>
      <c r="BR88" s="703">
        <f t="shared" si="38"/>
        <v>399.99999999999994</v>
      </c>
      <c r="BS88" s="703">
        <f t="shared" si="42"/>
        <v>240</v>
      </c>
    </row>
    <row r="89" spans="1:71" s="726" customFormat="1">
      <c r="A89" s="755" t="s">
        <v>93</v>
      </c>
      <c r="B89" s="756">
        <v>23</v>
      </c>
      <c r="C89" s="757"/>
      <c r="D89" s="758" t="s">
        <v>213</v>
      </c>
      <c r="E89" s="757" t="s">
        <v>236</v>
      </c>
      <c r="F89" s="759">
        <v>41821</v>
      </c>
      <c r="G89" s="757" t="s">
        <v>470</v>
      </c>
      <c r="H89" s="760">
        <v>70182</v>
      </c>
      <c r="I89" s="761" t="s">
        <v>323</v>
      </c>
      <c r="J89" s="711"/>
      <c r="K89" s="712" t="s">
        <v>471</v>
      </c>
      <c r="L89" s="706" t="s">
        <v>472</v>
      </c>
      <c r="M89" s="713">
        <v>28315</v>
      </c>
      <c r="N89" s="714"/>
      <c r="O89" s="714">
        <v>18.100999999999999</v>
      </c>
      <c r="P89" s="714">
        <v>14.097</v>
      </c>
      <c r="Q89" s="714">
        <v>7.9219999999999997</v>
      </c>
      <c r="R89" s="714">
        <v>0.25</v>
      </c>
      <c r="S89" s="714">
        <v>23.873000000000001</v>
      </c>
      <c r="T89" s="714">
        <v>20.128</v>
      </c>
      <c r="U89" s="714">
        <v>15.35</v>
      </c>
      <c r="V89" s="714">
        <v>13.548</v>
      </c>
      <c r="W89" s="714">
        <v>9.7929999999999993</v>
      </c>
      <c r="X89" s="714">
        <v>7.9260000000000002</v>
      </c>
      <c r="Y89" s="714">
        <v>4.4980000000000002</v>
      </c>
      <c r="Z89" s="714">
        <v>0.05</v>
      </c>
      <c r="AA89" s="714">
        <v>8.9429999999999996</v>
      </c>
      <c r="AB89" s="714">
        <v>7.42</v>
      </c>
      <c r="AC89" s="704">
        <v>6.74</v>
      </c>
      <c r="AD89" s="704">
        <v>5.25</v>
      </c>
      <c r="AE89" s="704">
        <v>2.76</v>
      </c>
      <c r="AF89" s="715">
        <v>0.16</v>
      </c>
      <c r="AG89" s="704"/>
      <c r="AH89" s="715"/>
      <c r="AI89" s="715"/>
      <c r="AJ89" s="716"/>
      <c r="AK89" s="704"/>
      <c r="AL89" s="717">
        <f t="shared" si="31"/>
        <v>4.0039999999999996</v>
      </c>
      <c r="AM89" s="718">
        <v>2.5099999999999998</v>
      </c>
      <c r="AN89" s="718">
        <v>2.4700000000000002</v>
      </c>
      <c r="AO89" s="718">
        <f t="shared" si="48"/>
        <v>13.73372</v>
      </c>
      <c r="AP89" s="718">
        <f t="shared" si="33"/>
        <v>18.713720000000002</v>
      </c>
      <c r="AQ89" s="719">
        <v>5.0999999999999996</v>
      </c>
      <c r="AR89" s="719">
        <v>4.5</v>
      </c>
      <c r="AS89" s="716">
        <v>28</v>
      </c>
      <c r="AT89" s="716">
        <v>0.6</v>
      </c>
      <c r="AU89" s="716">
        <v>28</v>
      </c>
      <c r="AV89" s="716">
        <f t="shared" si="39"/>
        <v>16.8</v>
      </c>
      <c r="AW89" s="716">
        <f t="shared" si="40"/>
        <v>126</v>
      </c>
      <c r="AX89" s="716">
        <f t="shared" ref="AX89:AX93" si="51">AQ89*AS89</f>
        <v>142.79999999999998</v>
      </c>
      <c r="AY89" s="716">
        <f t="shared" si="41"/>
        <v>0</v>
      </c>
      <c r="AZ89" s="716">
        <v>100</v>
      </c>
      <c r="BA89" s="716"/>
      <c r="BB89" s="720">
        <v>10000</v>
      </c>
      <c r="BC89" s="716">
        <v>52</v>
      </c>
      <c r="BD89" s="716">
        <v>10</v>
      </c>
      <c r="BE89" s="716">
        <v>80</v>
      </c>
      <c r="BF89" s="716"/>
      <c r="BG89" s="716"/>
      <c r="BH89" s="716"/>
      <c r="BI89" s="716"/>
      <c r="BJ89" s="744"/>
      <c r="BK89" s="744"/>
      <c r="BL89" s="744"/>
      <c r="BM89" s="745"/>
      <c r="BN89" s="722">
        <f t="shared" si="34"/>
        <v>403.51372000000003</v>
      </c>
      <c r="BO89" s="708"/>
      <c r="BP89" s="708"/>
      <c r="BQ89" s="724"/>
      <c r="BR89" s="703">
        <f t="shared" si="38"/>
        <v>450</v>
      </c>
      <c r="BS89" s="703">
        <f t="shared" si="42"/>
        <v>241</v>
      </c>
    </row>
    <row r="90" spans="1:71" s="726" customFormat="1">
      <c r="A90" s="704" t="s">
        <v>93</v>
      </c>
      <c r="B90" s="705">
        <v>24</v>
      </c>
      <c r="C90" s="706"/>
      <c r="D90" s="707" t="s">
        <v>473</v>
      </c>
      <c r="E90" s="707" t="s">
        <v>474</v>
      </c>
      <c r="F90" s="708">
        <v>43842</v>
      </c>
      <c r="G90" s="757" t="s">
        <v>475</v>
      </c>
      <c r="H90" s="760">
        <v>70619</v>
      </c>
      <c r="I90" s="761" t="s">
        <v>348</v>
      </c>
      <c r="J90" s="733"/>
      <c r="K90" s="712" t="s">
        <v>476</v>
      </c>
      <c r="L90" s="706" t="s">
        <v>477</v>
      </c>
      <c r="M90" s="713">
        <v>18576</v>
      </c>
      <c r="N90" s="714" t="s">
        <v>478</v>
      </c>
      <c r="O90" s="714">
        <v>42.374000000000002</v>
      </c>
      <c r="P90" s="714">
        <v>39.908999999999999</v>
      </c>
      <c r="Q90" s="714">
        <v>25.193999999999999</v>
      </c>
      <c r="R90" s="714">
        <v>0.25</v>
      </c>
      <c r="S90" s="714">
        <v>47.398000000000003</v>
      </c>
      <c r="T90" s="714">
        <v>38.033999999999999</v>
      </c>
      <c r="U90" s="714">
        <v>16.501999999999999</v>
      </c>
      <c r="V90" s="714">
        <v>15.387</v>
      </c>
      <c r="W90" s="714">
        <v>12.102</v>
      </c>
      <c r="X90" s="714">
        <v>10.929</v>
      </c>
      <c r="Y90" s="714">
        <v>8.7089999999999996</v>
      </c>
      <c r="Z90" s="714">
        <v>0.05</v>
      </c>
      <c r="AA90" s="714">
        <v>10.356</v>
      </c>
      <c r="AB90" s="714">
        <v>9.3000000000000007</v>
      </c>
      <c r="AC90" s="704">
        <v>8.42</v>
      </c>
      <c r="AD90" s="704">
        <v>6.68</v>
      </c>
      <c r="AE90" s="704">
        <v>5.03</v>
      </c>
      <c r="AF90" s="715">
        <v>2.71</v>
      </c>
      <c r="AG90" s="704"/>
      <c r="AH90" s="715"/>
      <c r="AI90" s="715"/>
      <c r="AJ90" s="716"/>
      <c r="AK90" s="704"/>
      <c r="AL90" s="717">
        <f t="shared" si="31"/>
        <v>2.4650000000000034</v>
      </c>
      <c r="AM90" s="718">
        <v>2.5099999999999998</v>
      </c>
      <c r="AN90" s="718">
        <v>2.4700000000000002</v>
      </c>
      <c r="AO90" s="718">
        <f t="shared" si="48"/>
        <v>8.4549500000000126</v>
      </c>
      <c r="AP90" s="718">
        <f t="shared" si="33"/>
        <v>13.434950000000013</v>
      </c>
      <c r="AQ90" s="719">
        <v>5.3</v>
      </c>
      <c r="AR90" s="719">
        <v>4.7</v>
      </c>
      <c r="AS90" s="716">
        <v>28</v>
      </c>
      <c r="AT90" s="716">
        <v>0.6</v>
      </c>
      <c r="AU90" s="716">
        <v>28</v>
      </c>
      <c r="AV90" s="716">
        <f t="shared" si="39"/>
        <v>16.8</v>
      </c>
      <c r="AW90" s="716">
        <f t="shared" si="40"/>
        <v>131.6</v>
      </c>
      <c r="AX90" s="716">
        <f t="shared" si="51"/>
        <v>148.4</v>
      </c>
      <c r="AY90" s="716">
        <f t="shared" si="41"/>
        <v>0</v>
      </c>
      <c r="AZ90" s="716">
        <v>100</v>
      </c>
      <c r="BA90" s="716"/>
      <c r="BB90" s="720">
        <v>10000</v>
      </c>
      <c r="BC90" s="716">
        <v>52</v>
      </c>
      <c r="BD90" s="716">
        <v>10</v>
      </c>
      <c r="BE90" s="716">
        <v>80</v>
      </c>
      <c r="BF90" s="716"/>
      <c r="BG90" s="716"/>
      <c r="BH90" s="716"/>
      <c r="BI90" s="716"/>
      <c r="BJ90" s="744"/>
      <c r="BK90" s="744"/>
      <c r="BL90" s="744"/>
      <c r="BM90" s="745"/>
      <c r="BN90" s="722">
        <f t="shared" si="34"/>
        <v>403.83495000000005</v>
      </c>
      <c r="BO90" s="708"/>
      <c r="BP90" s="708"/>
      <c r="BQ90" s="724"/>
      <c r="BR90" s="703">
        <f t="shared" si="38"/>
        <v>470</v>
      </c>
      <c r="BS90" s="703">
        <f t="shared" si="42"/>
        <v>242</v>
      </c>
    </row>
    <row r="91" spans="1:71" s="726" customFormat="1">
      <c r="A91" s="704" t="s">
        <v>93</v>
      </c>
      <c r="B91" s="705">
        <v>25</v>
      </c>
      <c r="C91" s="706"/>
      <c r="D91" s="707" t="s">
        <v>108</v>
      </c>
      <c r="E91" s="706" t="s">
        <v>109</v>
      </c>
      <c r="F91" s="708">
        <v>35370</v>
      </c>
      <c r="G91" s="706" t="s">
        <v>479</v>
      </c>
      <c r="H91" s="709">
        <v>70193</v>
      </c>
      <c r="I91" s="710" t="s">
        <v>323</v>
      </c>
      <c r="J91" s="733" t="s">
        <v>480</v>
      </c>
      <c r="K91" s="712"/>
      <c r="L91" s="706" t="s">
        <v>781</v>
      </c>
      <c r="M91" s="713">
        <v>17618</v>
      </c>
      <c r="N91" s="714"/>
      <c r="O91" s="714">
        <v>15.441000000000001</v>
      </c>
      <c r="P91" s="714">
        <v>14.569000000000001</v>
      </c>
      <c r="Q91" s="714">
        <v>6.81</v>
      </c>
      <c r="R91" s="714">
        <v>0.25</v>
      </c>
      <c r="S91" s="714">
        <v>49.213999999999999</v>
      </c>
      <c r="T91" s="714">
        <v>46.375999999999998</v>
      </c>
      <c r="U91" s="714">
        <v>40.015999999999998</v>
      </c>
      <c r="V91" s="714">
        <v>36.826000000000001</v>
      </c>
      <c r="W91" s="714">
        <v>26.352</v>
      </c>
      <c r="X91" s="714">
        <v>20.009</v>
      </c>
      <c r="Y91" s="714">
        <v>11.558999999999999</v>
      </c>
      <c r="Z91" s="714">
        <v>0.05</v>
      </c>
      <c r="AA91" s="714">
        <v>45.85</v>
      </c>
      <c r="AB91" s="714">
        <v>33.31</v>
      </c>
      <c r="AC91" s="704">
        <v>28.94</v>
      </c>
      <c r="AD91" s="704">
        <v>23.83</v>
      </c>
      <c r="AE91" s="704">
        <v>13.5</v>
      </c>
      <c r="AF91" s="715">
        <v>8.23</v>
      </c>
      <c r="AG91" s="704"/>
      <c r="AH91" s="715"/>
      <c r="AI91" s="715"/>
      <c r="AJ91" s="716"/>
      <c r="AK91" s="704"/>
      <c r="AL91" s="717">
        <f t="shared" si="31"/>
        <v>0.87199999999999989</v>
      </c>
      <c r="AM91" s="718">
        <v>2.5099999999999998</v>
      </c>
      <c r="AN91" s="718">
        <v>2.4700000000000002</v>
      </c>
      <c r="AO91" s="718">
        <f t="shared" si="48"/>
        <v>2.9909599999999998</v>
      </c>
      <c r="AP91" s="718">
        <f t="shared" si="33"/>
        <v>7.9709599999999998</v>
      </c>
      <c r="AQ91" s="719">
        <v>4.5999999999999996</v>
      </c>
      <c r="AR91" s="719">
        <v>3.9999999999999996</v>
      </c>
      <c r="AS91" s="716">
        <v>28</v>
      </c>
      <c r="AT91" s="716">
        <v>0.6</v>
      </c>
      <c r="AU91" s="716">
        <v>28</v>
      </c>
      <c r="AV91" s="716">
        <f t="shared" si="39"/>
        <v>16.8</v>
      </c>
      <c r="AW91" s="716">
        <f t="shared" si="40"/>
        <v>111.99999999999999</v>
      </c>
      <c r="AX91" s="716">
        <f t="shared" si="51"/>
        <v>128.79999999999998</v>
      </c>
      <c r="AY91" s="716">
        <f t="shared" si="41"/>
        <v>0</v>
      </c>
      <c r="AZ91" s="716">
        <v>100</v>
      </c>
      <c r="BA91" s="716"/>
      <c r="BB91" s="720">
        <v>10000</v>
      </c>
      <c r="BC91" s="716">
        <v>52</v>
      </c>
      <c r="BD91" s="716">
        <v>10</v>
      </c>
      <c r="BE91" s="716">
        <v>80</v>
      </c>
      <c r="BF91" s="716"/>
      <c r="BG91" s="716"/>
      <c r="BH91" s="716"/>
      <c r="BI91" s="716"/>
      <c r="BJ91" s="744"/>
      <c r="BK91" s="744"/>
      <c r="BL91" s="744"/>
      <c r="BM91" s="745">
        <v>90</v>
      </c>
      <c r="BN91" s="722">
        <f t="shared" si="34"/>
        <v>468.77096</v>
      </c>
      <c r="BO91" s="708"/>
      <c r="BP91" s="708"/>
      <c r="BQ91" s="724"/>
      <c r="BR91" s="703">
        <f t="shared" si="38"/>
        <v>399.99999999999994</v>
      </c>
      <c r="BS91" s="703">
        <f t="shared" si="42"/>
        <v>243</v>
      </c>
    </row>
    <row r="92" spans="1:71" s="726" customFormat="1">
      <c r="A92" s="704" t="s">
        <v>93</v>
      </c>
      <c r="B92" s="705">
        <v>26</v>
      </c>
      <c r="C92" s="706"/>
      <c r="D92" s="707" t="s">
        <v>110</v>
      </c>
      <c r="E92" s="706" t="s">
        <v>111</v>
      </c>
      <c r="F92" s="708">
        <v>39417</v>
      </c>
      <c r="G92" s="706" t="s">
        <v>481</v>
      </c>
      <c r="H92" s="709">
        <v>70619</v>
      </c>
      <c r="I92" s="710" t="s">
        <v>323</v>
      </c>
      <c r="J92" s="711" t="s">
        <v>482</v>
      </c>
      <c r="K92" s="712"/>
      <c r="L92" s="706" t="s">
        <v>483</v>
      </c>
      <c r="M92" s="713">
        <v>24967</v>
      </c>
      <c r="N92" s="714"/>
      <c r="O92" s="714">
        <v>0.69199999999999995</v>
      </c>
      <c r="P92" s="714">
        <v>0.66200000000000003</v>
      </c>
      <c r="Q92" s="714">
        <v>0.29099999999999998</v>
      </c>
      <c r="R92" s="714">
        <v>0.29099999999999998</v>
      </c>
      <c r="S92" s="714">
        <v>0.44800000000000001</v>
      </c>
      <c r="T92" s="714">
        <v>0.44700000000000001</v>
      </c>
      <c r="U92" s="714">
        <v>0.41399999999999998</v>
      </c>
      <c r="V92" s="714">
        <v>0.41299999999999998</v>
      </c>
      <c r="W92" s="714">
        <v>0.39200000000000002</v>
      </c>
      <c r="X92" s="714">
        <v>0.32800000000000001</v>
      </c>
      <c r="Y92" s="714">
        <v>0.32700000000000001</v>
      </c>
      <c r="Z92" s="714">
        <v>0.05</v>
      </c>
      <c r="AA92" s="714">
        <v>2.4849999999999999</v>
      </c>
      <c r="AB92" s="714">
        <v>2.46</v>
      </c>
      <c r="AC92" s="704">
        <v>0.94</v>
      </c>
      <c r="AD92" s="704">
        <v>0.47</v>
      </c>
      <c r="AE92" s="704">
        <v>0.44</v>
      </c>
      <c r="AF92" s="715">
        <v>0.39</v>
      </c>
      <c r="AG92" s="704"/>
      <c r="AH92" s="715"/>
      <c r="AI92" s="715"/>
      <c r="AJ92" s="716"/>
      <c r="AK92" s="704"/>
      <c r="AL92" s="717">
        <f t="shared" si="31"/>
        <v>2.9999999999999916E-2</v>
      </c>
      <c r="AM92" s="718">
        <v>2.5099999999999998</v>
      </c>
      <c r="AN92" s="718">
        <v>2.4700000000000002</v>
      </c>
      <c r="AO92" s="718">
        <f t="shared" si="48"/>
        <v>0.10289999999999971</v>
      </c>
      <c r="AP92" s="718">
        <f t="shared" si="33"/>
        <v>5.0829000000000004</v>
      </c>
      <c r="AQ92" s="719">
        <v>4.5999999999999996</v>
      </c>
      <c r="AR92" s="719">
        <v>3.9999999999999996</v>
      </c>
      <c r="AS92" s="716">
        <v>28</v>
      </c>
      <c r="AT92" s="716">
        <v>0.6</v>
      </c>
      <c r="AU92" s="716">
        <v>28</v>
      </c>
      <c r="AV92" s="716">
        <f t="shared" si="39"/>
        <v>16.8</v>
      </c>
      <c r="AW92" s="716">
        <f t="shared" si="40"/>
        <v>111.99999999999999</v>
      </c>
      <c r="AX92" s="716">
        <f t="shared" si="51"/>
        <v>128.79999999999998</v>
      </c>
      <c r="AY92" s="716">
        <f t="shared" si="41"/>
        <v>0</v>
      </c>
      <c r="AZ92" s="716">
        <v>100</v>
      </c>
      <c r="BA92" s="716"/>
      <c r="BB92" s="720">
        <v>8000</v>
      </c>
      <c r="BC92" s="716">
        <v>37.5</v>
      </c>
      <c r="BD92" s="716">
        <v>10</v>
      </c>
      <c r="BE92" s="716">
        <v>80</v>
      </c>
      <c r="BF92" s="716"/>
      <c r="BG92" s="716"/>
      <c r="BH92" s="716"/>
      <c r="BI92" s="716"/>
      <c r="BJ92" s="744"/>
      <c r="BK92" s="744"/>
      <c r="BL92" s="744"/>
      <c r="BM92" s="745">
        <v>60</v>
      </c>
      <c r="BN92" s="722">
        <f t="shared" si="34"/>
        <v>421.38289999999995</v>
      </c>
      <c r="BO92" s="708"/>
      <c r="BP92" s="708"/>
      <c r="BQ92" s="724"/>
      <c r="BR92" s="703">
        <f t="shared" si="38"/>
        <v>399.99999999999994</v>
      </c>
      <c r="BS92" s="703">
        <f t="shared" si="42"/>
        <v>244</v>
      </c>
    </row>
    <row r="93" spans="1:71" s="726" customFormat="1">
      <c r="A93" s="704" t="s">
        <v>93</v>
      </c>
      <c r="B93" s="705">
        <v>27</v>
      </c>
      <c r="C93" s="706"/>
      <c r="D93" s="707" t="s">
        <v>214</v>
      </c>
      <c r="E93" s="706" t="s">
        <v>167</v>
      </c>
      <c r="F93" s="708">
        <v>41974</v>
      </c>
      <c r="G93" s="706" t="s">
        <v>484</v>
      </c>
      <c r="H93" s="709">
        <v>70619</v>
      </c>
      <c r="I93" s="710" t="s">
        <v>323</v>
      </c>
      <c r="J93" s="711"/>
      <c r="K93" s="712" t="s">
        <v>485</v>
      </c>
      <c r="L93" s="706" t="s">
        <v>486</v>
      </c>
      <c r="M93" s="713">
        <v>27205</v>
      </c>
      <c r="N93" s="714"/>
      <c r="O93" s="714">
        <v>32.33</v>
      </c>
      <c r="P93" s="714">
        <v>24.92</v>
      </c>
      <c r="Q93" s="714">
        <v>6.44</v>
      </c>
      <c r="R93" s="714">
        <v>0.25</v>
      </c>
      <c r="S93" s="714">
        <v>20.56</v>
      </c>
      <c r="T93" s="714">
        <v>18.89</v>
      </c>
      <c r="U93" s="714">
        <v>13.167999999999999</v>
      </c>
      <c r="V93" s="714">
        <v>11.752000000000001</v>
      </c>
      <c r="W93" s="714">
        <v>6.2869999999999999</v>
      </c>
      <c r="X93" s="714">
        <v>4.1379999999999999</v>
      </c>
      <c r="Y93" s="714">
        <v>3.5819999999999999</v>
      </c>
      <c r="Z93" s="714">
        <v>0.05</v>
      </c>
      <c r="AA93" s="714">
        <v>19.754000000000001</v>
      </c>
      <c r="AB93" s="714">
        <v>18.84</v>
      </c>
      <c r="AC93" s="704">
        <v>15.34</v>
      </c>
      <c r="AD93" s="704">
        <v>13.37</v>
      </c>
      <c r="AE93" s="704">
        <v>8.6199999999999992</v>
      </c>
      <c r="AF93" s="715">
        <v>3.99</v>
      </c>
      <c r="AG93" s="704"/>
      <c r="AH93" s="715"/>
      <c r="AI93" s="715"/>
      <c r="AJ93" s="716"/>
      <c r="AK93" s="704"/>
      <c r="AL93" s="717">
        <f t="shared" si="31"/>
        <v>7.4099999999999966</v>
      </c>
      <c r="AM93" s="718">
        <v>2.5099999999999998</v>
      </c>
      <c r="AN93" s="718">
        <v>2.4700000000000002</v>
      </c>
      <c r="AO93" s="718">
        <f t="shared" si="48"/>
        <v>25.416299999999989</v>
      </c>
      <c r="AP93" s="718">
        <f t="shared" si="33"/>
        <v>30.396299999999989</v>
      </c>
      <c r="AQ93" s="719">
        <v>4.5999999999999996</v>
      </c>
      <c r="AR93" s="719">
        <v>3.9999999999999996</v>
      </c>
      <c r="AS93" s="716">
        <v>28</v>
      </c>
      <c r="AT93" s="716">
        <v>0.6</v>
      </c>
      <c r="AU93" s="716">
        <v>28</v>
      </c>
      <c r="AV93" s="716">
        <f t="shared" si="39"/>
        <v>16.8</v>
      </c>
      <c r="AW93" s="716">
        <f t="shared" si="40"/>
        <v>111.99999999999999</v>
      </c>
      <c r="AX93" s="716">
        <f t="shared" si="51"/>
        <v>128.79999999999998</v>
      </c>
      <c r="AY93" s="716">
        <f t="shared" si="41"/>
        <v>0</v>
      </c>
      <c r="AZ93" s="716">
        <v>100</v>
      </c>
      <c r="BA93" s="716"/>
      <c r="BB93" s="720">
        <v>10000</v>
      </c>
      <c r="BC93" s="716">
        <v>52</v>
      </c>
      <c r="BD93" s="716">
        <v>10</v>
      </c>
      <c r="BE93" s="716">
        <v>80</v>
      </c>
      <c r="BF93" s="716"/>
      <c r="BG93" s="716"/>
      <c r="BH93" s="716"/>
      <c r="BI93" s="716"/>
      <c r="BJ93" s="744"/>
      <c r="BK93" s="744"/>
      <c r="BL93" s="744"/>
      <c r="BM93" s="745"/>
      <c r="BN93" s="722">
        <f t="shared" si="34"/>
        <v>401.19629999999995</v>
      </c>
      <c r="BO93" s="708"/>
      <c r="BP93" s="708"/>
      <c r="BQ93" s="724"/>
      <c r="BR93" s="703">
        <f t="shared" si="38"/>
        <v>399.99999999999994</v>
      </c>
      <c r="BS93" s="703">
        <f t="shared" si="42"/>
        <v>245</v>
      </c>
    </row>
    <row r="94" spans="1:71" s="726" customFormat="1">
      <c r="A94" s="704" t="s">
        <v>93</v>
      </c>
      <c r="B94" s="705">
        <v>28</v>
      </c>
      <c r="C94" s="706"/>
      <c r="D94" s="707" t="s">
        <v>782</v>
      </c>
      <c r="E94" s="706" t="s">
        <v>783</v>
      </c>
      <c r="F94" s="708">
        <v>44896</v>
      </c>
      <c r="G94" s="706" t="s">
        <v>784</v>
      </c>
      <c r="H94" s="709">
        <v>73760</v>
      </c>
      <c r="I94" s="710" t="s">
        <v>340</v>
      </c>
      <c r="J94" s="711"/>
      <c r="K94" s="712" t="s">
        <v>785</v>
      </c>
      <c r="L94" s="706" t="s">
        <v>786</v>
      </c>
      <c r="M94" s="713">
        <v>30337</v>
      </c>
      <c r="N94" s="714" t="s">
        <v>787</v>
      </c>
      <c r="O94" s="714">
        <v>8.2219999999999995</v>
      </c>
      <c r="P94" s="714">
        <v>7.7220000000000004</v>
      </c>
      <c r="Q94" s="714">
        <v>3.6429999999999998</v>
      </c>
      <c r="R94" s="714">
        <v>0.25</v>
      </c>
      <c r="S94" s="714">
        <v>27.309000000000001</v>
      </c>
      <c r="T94" s="714">
        <v>25.821999999999999</v>
      </c>
      <c r="U94" s="714">
        <v>17.905999999999999</v>
      </c>
      <c r="V94" s="714">
        <v>15.471</v>
      </c>
      <c r="W94" s="714">
        <v>10.114000000000001</v>
      </c>
      <c r="X94" s="714">
        <v>6.7880000000000003</v>
      </c>
      <c r="Y94" s="714">
        <v>4.7690000000000001</v>
      </c>
      <c r="Z94" s="714">
        <v>0.05</v>
      </c>
      <c r="AA94" s="714">
        <v>5.3579999999999997</v>
      </c>
      <c r="AB94" s="714">
        <v>4.3499999999999996</v>
      </c>
      <c r="AC94" s="704">
        <v>3.43</v>
      </c>
      <c r="AD94" s="704">
        <v>3.1</v>
      </c>
      <c r="AE94" s="704">
        <v>2.4500000000000002</v>
      </c>
      <c r="AF94" s="715">
        <v>1.29</v>
      </c>
      <c r="AG94" s="704"/>
      <c r="AH94" s="715"/>
      <c r="AI94" s="715"/>
      <c r="AJ94" s="716"/>
      <c r="AK94" s="704"/>
      <c r="AL94" s="717">
        <f t="shared" si="31"/>
        <v>0.49999999999999911</v>
      </c>
      <c r="AM94" s="718">
        <v>2.5099999999999998</v>
      </c>
      <c r="AN94" s="718">
        <v>2.4700000000000002</v>
      </c>
      <c r="AO94" s="718">
        <f t="shared" si="48"/>
        <v>1.714999999999997</v>
      </c>
      <c r="AP94" s="718">
        <f t="shared" si="33"/>
        <v>6.6949999999999976</v>
      </c>
      <c r="AQ94" s="719">
        <v>4.5999999999999996</v>
      </c>
      <c r="AR94" s="719">
        <v>3.9999999999999996</v>
      </c>
      <c r="AS94" s="716">
        <v>28</v>
      </c>
      <c r="AT94" s="716">
        <v>0.6</v>
      </c>
      <c r="AU94" s="716">
        <v>28</v>
      </c>
      <c r="AV94" s="716">
        <f t="shared" si="39"/>
        <v>16.8</v>
      </c>
      <c r="AW94" s="716">
        <f t="shared" si="40"/>
        <v>111.99999999999999</v>
      </c>
      <c r="AX94" s="716">
        <f t="shared" ref="AX94" si="52">AQ94*AS94</f>
        <v>128.79999999999998</v>
      </c>
      <c r="AY94" s="716">
        <f t="shared" si="41"/>
        <v>0</v>
      </c>
      <c r="AZ94" s="716">
        <v>100</v>
      </c>
      <c r="BA94" s="716">
        <v>32.5</v>
      </c>
      <c r="BB94" s="720">
        <v>7500</v>
      </c>
      <c r="BC94" s="716">
        <v>35.5</v>
      </c>
      <c r="BD94" s="716">
        <v>10</v>
      </c>
      <c r="BE94" s="716">
        <v>80</v>
      </c>
      <c r="BF94" s="716"/>
      <c r="BG94" s="716"/>
      <c r="BH94" s="716"/>
      <c r="BI94" s="716"/>
      <c r="BJ94" s="744"/>
      <c r="BK94" s="744"/>
      <c r="BL94" s="744"/>
      <c r="BM94" s="745"/>
      <c r="BN94" s="722">
        <f t="shared" si="34"/>
        <v>393.495</v>
      </c>
      <c r="BO94" s="708"/>
      <c r="BP94" s="708"/>
      <c r="BQ94" s="724"/>
      <c r="BR94" s="703">
        <f t="shared" si="38"/>
        <v>399.99999999999994</v>
      </c>
      <c r="BS94" s="703">
        <f t="shared" si="42"/>
        <v>246</v>
      </c>
    </row>
    <row r="95" spans="1:71" s="726" customFormat="1">
      <c r="A95" s="704" t="s">
        <v>93</v>
      </c>
      <c r="B95" s="705">
        <v>29</v>
      </c>
      <c r="C95" s="706"/>
      <c r="D95" s="707" t="s">
        <v>112</v>
      </c>
      <c r="E95" s="706" t="s">
        <v>87</v>
      </c>
      <c r="F95" s="708">
        <v>38290</v>
      </c>
      <c r="G95" s="706" t="s">
        <v>487</v>
      </c>
      <c r="H95" s="709">
        <v>73760</v>
      </c>
      <c r="I95" s="710" t="s">
        <v>340</v>
      </c>
      <c r="J95" s="711" t="s">
        <v>488</v>
      </c>
      <c r="K95" s="712" t="s">
        <v>489</v>
      </c>
      <c r="L95" s="706" t="s">
        <v>490</v>
      </c>
      <c r="M95" s="713">
        <v>24472</v>
      </c>
      <c r="N95" s="714"/>
      <c r="O95" s="714">
        <v>19.431000000000001</v>
      </c>
      <c r="P95" s="714">
        <v>17.594000000000001</v>
      </c>
      <c r="Q95" s="714">
        <v>8.3819999999999997</v>
      </c>
      <c r="R95" s="714">
        <v>0.25</v>
      </c>
      <c r="S95" s="714">
        <v>29.061</v>
      </c>
      <c r="T95" s="714">
        <v>25.986000000000001</v>
      </c>
      <c r="U95" s="714">
        <v>16.838000000000001</v>
      </c>
      <c r="V95" s="714">
        <v>12.679</v>
      </c>
      <c r="W95" s="714">
        <v>9.6219999999999999</v>
      </c>
      <c r="X95" s="714">
        <v>3.391</v>
      </c>
      <c r="Y95" s="714">
        <v>1.577</v>
      </c>
      <c r="Z95" s="714">
        <v>0.05</v>
      </c>
      <c r="AA95" s="714">
        <v>7.5030000000000001</v>
      </c>
      <c r="AB95" s="714">
        <v>6.03</v>
      </c>
      <c r="AC95" s="704">
        <v>5.23</v>
      </c>
      <c r="AD95" s="704">
        <v>4.24</v>
      </c>
      <c r="AE95" s="704">
        <v>3.56</v>
      </c>
      <c r="AF95" s="715">
        <v>2.0299999999999998</v>
      </c>
      <c r="AG95" s="762"/>
      <c r="AH95" s="715"/>
      <c r="AI95" s="715"/>
      <c r="AJ95" s="716"/>
      <c r="AK95" s="704"/>
      <c r="AL95" s="717">
        <f t="shared" si="31"/>
        <v>1.8369999999999997</v>
      </c>
      <c r="AM95" s="718">
        <v>2.5099999999999998</v>
      </c>
      <c r="AN95" s="718">
        <v>2.4700000000000002</v>
      </c>
      <c r="AO95" s="718">
        <f t="shared" si="48"/>
        <v>6.3009099999999991</v>
      </c>
      <c r="AP95" s="718">
        <f t="shared" si="33"/>
        <v>11.280909999999999</v>
      </c>
      <c r="AQ95" s="719">
        <v>4.5999999999999996</v>
      </c>
      <c r="AR95" s="719">
        <v>3.9999999999999996</v>
      </c>
      <c r="AS95" s="716">
        <v>28</v>
      </c>
      <c r="AT95" s="716">
        <v>0.6</v>
      </c>
      <c r="AU95" s="716">
        <v>28</v>
      </c>
      <c r="AV95" s="716">
        <f t="shared" si="39"/>
        <v>16.8</v>
      </c>
      <c r="AW95" s="716">
        <f t="shared" si="40"/>
        <v>111.99999999999999</v>
      </c>
      <c r="AX95" s="716">
        <f t="shared" ref="AX95:AX107" si="53">AQ95*AS95</f>
        <v>128.79999999999998</v>
      </c>
      <c r="AY95" s="716">
        <f t="shared" si="41"/>
        <v>0</v>
      </c>
      <c r="AZ95" s="716">
        <v>100</v>
      </c>
      <c r="BA95" s="716">
        <v>32.5</v>
      </c>
      <c r="BB95" s="720">
        <v>5000</v>
      </c>
      <c r="BC95" s="716">
        <v>25</v>
      </c>
      <c r="BD95" s="716">
        <v>10</v>
      </c>
      <c r="BE95" s="716">
        <v>80</v>
      </c>
      <c r="BF95" s="716"/>
      <c r="BG95" s="716"/>
      <c r="BH95" s="716"/>
      <c r="BI95" s="716"/>
      <c r="BJ95" s="744"/>
      <c r="BK95" s="744"/>
      <c r="BL95" s="744"/>
      <c r="BM95" s="745"/>
      <c r="BN95" s="722">
        <f t="shared" si="34"/>
        <v>387.58091000000002</v>
      </c>
      <c r="BO95" s="708"/>
      <c r="BP95" s="708"/>
      <c r="BQ95" s="724"/>
      <c r="BR95" s="703">
        <f t="shared" si="38"/>
        <v>399.99999999999994</v>
      </c>
      <c r="BS95" s="703">
        <f t="shared" si="42"/>
        <v>247</v>
      </c>
    </row>
    <row r="96" spans="1:71" s="726" customFormat="1">
      <c r="A96" s="704" t="s">
        <v>93</v>
      </c>
      <c r="B96" s="705">
        <v>30</v>
      </c>
      <c r="C96" s="706"/>
      <c r="D96" s="707" t="s">
        <v>113</v>
      </c>
      <c r="E96" s="706" t="s">
        <v>114</v>
      </c>
      <c r="F96" s="708">
        <v>39083</v>
      </c>
      <c r="G96" s="706" t="s">
        <v>491</v>
      </c>
      <c r="H96" s="709">
        <v>70619</v>
      </c>
      <c r="I96" s="710" t="s">
        <v>323</v>
      </c>
      <c r="J96" s="711">
        <v>2203844</v>
      </c>
      <c r="K96" s="712"/>
      <c r="L96" s="706" t="s">
        <v>788</v>
      </c>
      <c r="M96" s="713">
        <v>25628</v>
      </c>
      <c r="N96" s="714"/>
      <c r="O96" s="714">
        <v>2.67</v>
      </c>
      <c r="P96" s="714">
        <v>2.1850000000000001</v>
      </c>
      <c r="Q96" s="714">
        <v>0.63300000000000001</v>
      </c>
      <c r="R96" s="714">
        <v>0.25</v>
      </c>
      <c r="S96" s="714">
        <v>18.706</v>
      </c>
      <c r="T96" s="714">
        <v>18.422999999999998</v>
      </c>
      <c r="U96" s="714">
        <v>15.855</v>
      </c>
      <c r="V96" s="714">
        <v>11.84</v>
      </c>
      <c r="W96" s="714">
        <v>8.7490000000000006</v>
      </c>
      <c r="X96" s="714">
        <v>7.5810000000000004</v>
      </c>
      <c r="Y96" s="714">
        <v>5.7430000000000003</v>
      </c>
      <c r="Z96" s="714">
        <v>0.05</v>
      </c>
      <c r="AA96" s="714">
        <v>7.5129999999999999</v>
      </c>
      <c r="AB96" s="714">
        <v>5.0599999999999996</v>
      </c>
      <c r="AC96" s="704">
        <v>3.58</v>
      </c>
      <c r="AD96" s="704">
        <v>2.14</v>
      </c>
      <c r="AE96" s="704">
        <v>1.17</v>
      </c>
      <c r="AF96" s="715">
        <v>0.49</v>
      </c>
      <c r="AG96" s="704"/>
      <c r="AH96" s="715"/>
      <c r="AI96" s="715"/>
      <c r="AJ96" s="716"/>
      <c r="AK96" s="704"/>
      <c r="AL96" s="717">
        <f t="shared" si="31"/>
        <v>0.48499999999999988</v>
      </c>
      <c r="AM96" s="718">
        <v>2.5099999999999998</v>
      </c>
      <c r="AN96" s="718">
        <v>2.4700000000000002</v>
      </c>
      <c r="AO96" s="718">
        <f t="shared" si="48"/>
        <v>1.6635499999999996</v>
      </c>
      <c r="AP96" s="718">
        <f t="shared" si="33"/>
        <v>6.6435500000000003</v>
      </c>
      <c r="AQ96" s="719">
        <v>4.5999999999999996</v>
      </c>
      <c r="AR96" s="719">
        <v>3.9999999999999996</v>
      </c>
      <c r="AS96" s="716">
        <v>28</v>
      </c>
      <c r="AT96" s="716">
        <v>0.6</v>
      </c>
      <c r="AU96" s="716">
        <v>28</v>
      </c>
      <c r="AV96" s="716">
        <f t="shared" si="39"/>
        <v>16.8</v>
      </c>
      <c r="AW96" s="716">
        <f t="shared" si="40"/>
        <v>111.99999999999999</v>
      </c>
      <c r="AX96" s="716">
        <f t="shared" si="53"/>
        <v>128.79999999999998</v>
      </c>
      <c r="AY96" s="716">
        <f t="shared" si="41"/>
        <v>0</v>
      </c>
      <c r="AZ96" s="716">
        <v>100</v>
      </c>
      <c r="BA96" s="716">
        <v>32.5</v>
      </c>
      <c r="BB96" s="720">
        <v>10000</v>
      </c>
      <c r="BC96" s="716">
        <v>52</v>
      </c>
      <c r="BD96" s="716">
        <v>10</v>
      </c>
      <c r="BE96" s="716">
        <v>80</v>
      </c>
      <c r="BF96" s="716"/>
      <c r="BG96" s="716"/>
      <c r="BH96" s="716"/>
      <c r="BI96" s="716"/>
      <c r="BJ96" s="744"/>
      <c r="BK96" s="744"/>
      <c r="BL96" s="744"/>
      <c r="BM96" s="745"/>
      <c r="BN96" s="722">
        <f t="shared" si="34"/>
        <v>409.94354999999996</v>
      </c>
      <c r="BO96" s="708"/>
      <c r="BP96" s="708"/>
      <c r="BQ96" s="724"/>
      <c r="BR96" s="703">
        <f t="shared" si="38"/>
        <v>399.99999999999994</v>
      </c>
      <c r="BS96" s="703">
        <f t="shared" si="42"/>
        <v>248</v>
      </c>
    </row>
    <row r="97" spans="1:71" s="726" customFormat="1">
      <c r="A97" s="704" t="s">
        <v>93</v>
      </c>
      <c r="B97" s="705">
        <v>31</v>
      </c>
      <c r="C97" s="706"/>
      <c r="D97" s="707" t="s">
        <v>115</v>
      </c>
      <c r="E97" s="706" t="s">
        <v>116</v>
      </c>
      <c r="F97" s="708">
        <v>40878</v>
      </c>
      <c r="G97" s="706" t="s">
        <v>492</v>
      </c>
      <c r="H97" s="709">
        <v>70619</v>
      </c>
      <c r="I97" s="710" t="s">
        <v>323</v>
      </c>
      <c r="J97" s="711">
        <v>4599498</v>
      </c>
      <c r="K97" s="712"/>
      <c r="L97" s="706" t="s">
        <v>493</v>
      </c>
      <c r="M97" s="713">
        <v>23750</v>
      </c>
      <c r="N97" s="714" t="s">
        <v>494</v>
      </c>
      <c r="O97" s="714">
        <v>13.862</v>
      </c>
      <c r="P97" s="714">
        <v>8.4870000000000001</v>
      </c>
      <c r="Q97" s="714">
        <v>4.2910000000000004</v>
      </c>
      <c r="R97" s="714">
        <v>0.25</v>
      </c>
      <c r="S97" s="714">
        <v>17.295000000000002</v>
      </c>
      <c r="T97" s="714">
        <v>15.659000000000001</v>
      </c>
      <c r="U97" s="714">
        <v>7.0830000000000002</v>
      </c>
      <c r="V97" s="714">
        <v>3.3370000000000002</v>
      </c>
      <c r="W97" s="714">
        <v>2.0760000000000001</v>
      </c>
      <c r="X97" s="714">
        <v>0.379</v>
      </c>
      <c r="Y97" s="714">
        <v>0.22</v>
      </c>
      <c r="Z97" s="714">
        <v>0.05</v>
      </c>
      <c r="AA97" s="714">
        <v>4.2699999999999996</v>
      </c>
      <c r="AB97" s="714">
        <v>4.0199999999999996</v>
      </c>
      <c r="AC97" s="704">
        <v>3.98</v>
      </c>
      <c r="AD97" s="704">
        <v>3.86</v>
      </c>
      <c r="AE97" s="704"/>
      <c r="AF97" s="715"/>
      <c r="AG97" s="704"/>
      <c r="AH97" s="715"/>
      <c r="AI97" s="715"/>
      <c r="AJ97" s="716"/>
      <c r="AK97" s="704"/>
      <c r="AL97" s="717">
        <f t="shared" si="31"/>
        <v>5.375</v>
      </c>
      <c r="AM97" s="718">
        <v>2.5099999999999998</v>
      </c>
      <c r="AN97" s="718">
        <v>2.4700000000000002</v>
      </c>
      <c r="AO97" s="718">
        <f t="shared" si="48"/>
        <v>18.436250000000001</v>
      </c>
      <c r="AP97" s="718">
        <f t="shared" si="33"/>
        <v>23.416250000000002</v>
      </c>
      <c r="AQ97" s="719">
        <v>4.5999999999999996</v>
      </c>
      <c r="AR97" s="719">
        <v>3.9999999999999996</v>
      </c>
      <c r="AS97" s="716">
        <v>28</v>
      </c>
      <c r="AT97" s="716">
        <v>0.6</v>
      </c>
      <c r="AU97" s="716">
        <v>28</v>
      </c>
      <c r="AV97" s="716">
        <f t="shared" si="39"/>
        <v>16.8</v>
      </c>
      <c r="AW97" s="716">
        <f t="shared" si="40"/>
        <v>111.99999999999999</v>
      </c>
      <c r="AX97" s="716">
        <f t="shared" si="53"/>
        <v>128.79999999999998</v>
      </c>
      <c r="AY97" s="716">
        <f t="shared" si="41"/>
        <v>0</v>
      </c>
      <c r="AZ97" s="716">
        <v>100</v>
      </c>
      <c r="BA97" s="716"/>
      <c r="BB97" s="720">
        <v>10000</v>
      </c>
      <c r="BC97" s="716">
        <v>52</v>
      </c>
      <c r="BD97" s="716">
        <v>10</v>
      </c>
      <c r="BE97" s="716">
        <v>80</v>
      </c>
      <c r="BF97" s="716"/>
      <c r="BG97" s="716"/>
      <c r="BH97" s="716"/>
      <c r="BI97" s="716"/>
      <c r="BJ97" s="744"/>
      <c r="BK97" s="744"/>
      <c r="BL97" s="744"/>
      <c r="BM97" s="745"/>
      <c r="BN97" s="722">
        <f t="shared" si="34"/>
        <v>394.21625</v>
      </c>
      <c r="BO97" s="708"/>
      <c r="BP97" s="708"/>
      <c r="BQ97" s="724"/>
      <c r="BR97" s="703">
        <f t="shared" si="38"/>
        <v>399.99999999999994</v>
      </c>
      <c r="BS97" s="703">
        <f t="shared" si="42"/>
        <v>249</v>
      </c>
    </row>
    <row r="98" spans="1:71" s="726" customFormat="1">
      <c r="A98" s="704" t="s">
        <v>93</v>
      </c>
      <c r="B98" s="705">
        <v>32</v>
      </c>
      <c r="C98" s="706"/>
      <c r="D98" s="707" t="s">
        <v>789</v>
      </c>
      <c r="E98" s="706" t="s">
        <v>790</v>
      </c>
      <c r="F98" s="708">
        <v>44805</v>
      </c>
      <c r="G98" s="706" t="s">
        <v>791</v>
      </c>
      <c r="H98" s="709">
        <v>70619</v>
      </c>
      <c r="I98" s="710" t="s">
        <v>323</v>
      </c>
      <c r="J98" s="733"/>
      <c r="K98" s="725" t="s">
        <v>792</v>
      </c>
      <c r="L98" s="706" t="s">
        <v>793</v>
      </c>
      <c r="M98" s="713">
        <v>27971</v>
      </c>
      <c r="N98" s="714" t="s">
        <v>794</v>
      </c>
      <c r="O98" s="714">
        <v>10.210000000000001</v>
      </c>
      <c r="P98" s="714">
        <v>8.2170000000000005</v>
      </c>
      <c r="Q98" s="714">
        <v>2.7370000000000001</v>
      </c>
      <c r="R98" s="714">
        <v>0.25</v>
      </c>
      <c r="S98" s="714">
        <v>66.728999999999999</v>
      </c>
      <c r="T98" s="714">
        <v>59.841000000000001</v>
      </c>
      <c r="U98" s="714">
        <v>45.158000000000001</v>
      </c>
      <c r="V98" s="714">
        <v>39.466999999999999</v>
      </c>
      <c r="W98" s="714">
        <v>27.315000000000001</v>
      </c>
      <c r="X98" s="714">
        <v>21.56</v>
      </c>
      <c r="Y98" s="714">
        <v>3.4460000000000002</v>
      </c>
      <c r="Z98" s="714">
        <v>0.05</v>
      </c>
      <c r="AA98" s="714">
        <v>62.883000000000003</v>
      </c>
      <c r="AB98" s="714">
        <v>56.04</v>
      </c>
      <c r="AC98" s="704">
        <v>44.71</v>
      </c>
      <c r="AD98" s="704">
        <v>34.69</v>
      </c>
      <c r="AE98" s="704">
        <v>22.95</v>
      </c>
      <c r="AF98" s="715">
        <v>14.06</v>
      </c>
      <c r="AG98" s="704"/>
      <c r="AH98" s="715"/>
      <c r="AI98" s="715"/>
      <c r="AJ98" s="716"/>
      <c r="AK98" s="704"/>
      <c r="AL98" s="717">
        <f t="shared" si="31"/>
        <v>1.9930000000000003</v>
      </c>
      <c r="AM98" s="718">
        <v>2.5099999999999998</v>
      </c>
      <c r="AN98" s="718">
        <v>2.4700000000000002</v>
      </c>
      <c r="AO98" s="718">
        <f t="shared" si="48"/>
        <v>6.8359900000000016</v>
      </c>
      <c r="AP98" s="718">
        <f t="shared" si="33"/>
        <v>11.815990000000003</v>
      </c>
      <c r="AQ98" s="719">
        <v>4.5999999999999996</v>
      </c>
      <c r="AR98" s="719">
        <v>3.9999999999999996</v>
      </c>
      <c r="AS98" s="716">
        <v>28</v>
      </c>
      <c r="AT98" s="716">
        <v>0.6</v>
      </c>
      <c r="AU98" s="716">
        <v>28</v>
      </c>
      <c r="AV98" s="716">
        <f t="shared" si="39"/>
        <v>16.8</v>
      </c>
      <c r="AW98" s="716">
        <f t="shared" si="40"/>
        <v>111.99999999999999</v>
      </c>
      <c r="AX98" s="716">
        <f t="shared" si="53"/>
        <v>128.79999999999998</v>
      </c>
      <c r="AY98" s="716">
        <f t="shared" si="41"/>
        <v>0</v>
      </c>
      <c r="AZ98" s="716">
        <v>100</v>
      </c>
      <c r="BA98" s="716"/>
      <c r="BB98" s="720">
        <v>5000</v>
      </c>
      <c r="BC98" s="716">
        <v>25</v>
      </c>
      <c r="BD98" s="716">
        <v>10</v>
      </c>
      <c r="BE98" s="716">
        <v>80</v>
      </c>
      <c r="BF98" s="716"/>
      <c r="BG98" s="716"/>
      <c r="BH98" s="716"/>
      <c r="BI98" s="716"/>
      <c r="BJ98" s="744"/>
      <c r="BK98" s="744"/>
      <c r="BL98" s="744"/>
      <c r="BM98" s="745"/>
      <c r="BN98" s="722">
        <f t="shared" si="34"/>
        <v>355.61599000000001</v>
      </c>
      <c r="BO98" s="708"/>
      <c r="BP98" s="708"/>
      <c r="BQ98" s="724"/>
      <c r="BR98" s="703">
        <f t="shared" si="38"/>
        <v>399.99999999999994</v>
      </c>
      <c r="BS98" s="703">
        <f t="shared" si="42"/>
        <v>250</v>
      </c>
    </row>
    <row r="99" spans="1:71" s="726" customFormat="1">
      <c r="A99" s="704" t="s">
        <v>93</v>
      </c>
      <c r="B99" s="705">
        <v>33</v>
      </c>
      <c r="C99" s="706"/>
      <c r="D99" s="707" t="s">
        <v>695</v>
      </c>
      <c r="E99" s="706" t="s">
        <v>696</v>
      </c>
      <c r="F99" s="708">
        <v>44197</v>
      </c>
      <c r="G99" s="706" t="s">
        <v>697</v>
      </c>
      <c r="H99" s="709">
        <v>70619</v>
      </c>
      <c r="I99" s="710" t="s">
        <v>323</v>
      </c>
      <c r="J99" s="711"/>
      <c r="K99" s="725" t="s">
        <v>698</v>
      </c>
      <c r="L99" s="706" t="s">
        <v>699</v>
      </c>
      <c r="M99" s="713">
        <v>32190</v>
      </c>
      <c r="N99" s="714" t="s">
        <v>700</v>
      </c>
      <c r="O99" s="714">
        <v>11.247999999999999</v>
      </c>
      <c r="P99" s="714">
        <v>9.6959999999999997</v>
      </c>
      <c r="Q99" s="714">
        <v>3.0550000000000002</v>
      </c>
      <c r="R99" s="714">
        <v>0.25</v>
      </c>
      <c r="S99" s="714">
        <v>27.135000000000002</v>
      </c>
      <c r="T99" s="714">
        <v>25.385999999999999</v>
      </c>
      <c r="U99" s="714">
        <v>20.696000000000002</v>
      </c>
      <c r="V99" s="714">
        <v>17.407</v>
      </c>
      <c r="W99" s="714">
        <v>10.054</v>
      </c>
      <c r="X99" s="714">
        <v>4.3259999999999996</v>
      </c>
      <c r="Y99" s="714">
        <v>3.0739999999999998</v>
      </c>
      <c r="Z99" s="714">
        <v>0.05</v>
      </c>
      <c r="AA99" s="714">
        <v>25.265000000000001</v>
      </c>
      <c r="AB99" s="714">
        <v>24.34</v>
      </c>
      <c r="AC99" s="704">
        <v>23.61</v>
      </c>
      <c r="AD99" s="704">
        <v>20.350000000000001</v>
      </c>
      <c r="AE99" s="704">
        <v>17.57</v>
      </c>
      <c r="AF99" s="715">
        <v>10.75</v>
      </c>
      <c r="AG99" s="704"/>
      <c r="AH99" s="715"/>
      <c r="AI99" s="715"/>
      <c r="AJ99" s="716"/>
      <c r="AK99" s="704"/>
      <c r="AL99" s="717">
        <f t="shared" si="31"/>
        <v>1.5519999999999996</v>
      </c>
      <c r="AM99" s="718">
        <v>2.5099999999999998</v>
      </c>
      <c r="AN99" s="718">
        <v>2.4700000000000002</v>
      </c>
      <c r="AO99" s="718">
        <f t="shared" si="48"/>
        <v>5.3233599999999992</v>
      </c>
      <c r="AP99" s="718">
        <f t="shared" si="33"/>
        <v>10.30336</v>
      </c>
      <c r="AQ99" s="719">
        <v>4.5999999999999996</v>
      </c>
      <c r="AR99" s="719">
        <v>3.9999999999999996</v>
      </c>
      <c r="AS99" s="716">
        <v>28</v>
      </c>
      <c r="AT99" s="716">
        <v>0.6</v>
      </c>
      <c r="AU99" s="716">
        <v>28</v>
      </c>
      <c r="AV99" s="716">
        <f t="shared" si="39"/>
        <v>16.8</v>
      </c>
      <c r="AW99" s="716">
        <f t="shared" si="40"/>
        <v>111.99999999999999</v>
      </c>
      <c r="AX99" s="716">
        <f t="shared" si="53"/>
        <v>128.79999999999998</v>
      </c>
      <c r="AY99" s="716">
        <f t="shared" si="41"/>
        <v>0</v>
      </c>
      <c r="AZ99" s="716">
        <v>100</v>
      </c>
      <c r="BA99" s="716"/>
      <c r="BB99" s="720">
        <v>10000</v>
      </c>
      <c r="BC99" s="716">
        <v>52</v>
      </c>
      <c r="BD99" s="716">
        <v>10</v>
      </c>
      <c r="BE99" s="716">
        <v>80</v>
      </c>
      <c r="BF99" s="716"/>
      <c r="BG99" s="716"/>
      <c r="BH99" s="716"/>
      <c r="BI99" s="716"/>
      <c r="BJ99" s="744">
        <v>10</v>
      </c>
      <c r="BK99" s="744"/>
      <c r="BL99" s="744"/>
      <c r="BM99" s="745"/>
      <c r="BN99" s="722">
        <f t="shared" si="34"/>
        <v>391.10335999999995</v>
      </c>
      <c r="BO99" s="708"/>
      <c r="BP99" s="708"/>
      <c r="BQ99" s="724"/>
      <c r="BR99" s="703">
        <f t="shared" si="38"/>
        <v>399.99999999999994</v>
      </c>
      <c r="BS99" s="703">
        <f t="shared" si="42"/>
        <v>251</v>
      </c>
    </row>
    <row r="100" spans="1:71" s="726" customFormat="1">
      <c r="A100" s="704" t="s">
        <v>93</v>
      </c>
      <c r="B100" s="705">
        <v>34</v>
      </c>
      <c r="C100" s="706"/>
      <c r="D100" s="707" t="s">
        <v>224</v>
      </c>
      <c r="E100" s="706" t="s">
        <v>225</v>
      </c>
      <c r="F100" s="708">
        <v>42125</v>
      </c>
      <c r="G100" s="706" t="s">
        <v>495</v>
      </c>
      <c r="H100" s="709">
        <v>70619</v>
      </c>
      <c r="I100" s="710" t="s">
        <v>323</v>
      </c>
      <c r="J100" s="711">
        <v>9076336</v>
      </c>
      <c r="K100" s="725" t="s">
        <v>496</v>
      </c>
      <c r="L100" s="706" t="s">
        <v>497</v>
      </c>
      <c r="M100" s="713">
        <v>25932</v>
      </c>
      <c r="N100" s="714"/>
      <c r="O100" s="714">
        <v>22.716999999999999</v>
      </c>
      <c r="P100" s="714">
        <v>19.850000000000001</v>
      </c>
      <c r="Q100" s="714">
        <v>6.8220000000000001</v>
      </c>
      <c r="R100" s="714">
        <v>0.25</v>
      </c>
      <c r="S100" s="714">
        <v>65.429000000000002</v>
      </c>
      <c r="T100" s="714">
        <v>62.665999999999997</v>
      </c>
      <c r="U100" s="714">
        <v>49.579000000000001</v>
      </c>
      <c r="V100" s="714">
        <v>42.911000000000001</v>
      </c>
      <c r="W100" s="714">
        <v>27.538</v>
      </c>
      <c r="X100" s="714">
        <v>20.800999999999998</v>
      </c>
      <c r="Y100" s="714">
        <v>11.536</v>
      </c>
      <c r="Z100" s="714">
        <v>0.05</v>
      </c>
      <c r="AA100" s="714">
        <v>13.36</v>
      </c>
      <c r="AB100" s="714">
        <v>11.99</v>
      </c>
      <c r="AC100" s="704">
        <v>11.15</v>
      </c>
      <c r="AD100" s="704">
        <v>8.9700000000000006</v>
      </c>
      <c r="AE100" s="704">
        <v>6.62</v>
      </c>
      <c r="AF100" s="715">
        <v>5.05</v>
      </c>
      <c r="AG100" s="704"/>
      <c r="AH100" s="715"/>
      <c r="AI100" s="715"/>
      <c r="AJ100" s="716"/>
      <c r="AK100" s="704"/>
      <c r="AL100" s="717">
        <f t="shared" si="31"/>
        <v>2.8669999999999973</v>
      </c>
      <c r="AM100" s="718">
        <v>2.5099999999999998</v>
      </c>
      <c r="AN100" s="718">
        <v>2.4700000000000002</v>
      </c>
      <c r="AO100" s="718">
        <f t="shared" si="48"/>
        <v>9.8338099999999908</v>
      </c>
      <c r="AP100" s="718">
        <f t="shared" si="33"/>
        <v>14.813809999999991</v>
      </c>
      <c r="AQ100" s="719">
        <v>4.5999999999999996</v>
      </c>
      <c r="AR100" s="719">
        <v>3.9999999999999996</v>
      </c>
      <c r="AS100" s="716">
        <v>28</v>
      </c>
      <c r="AT100" s="716">
        <v>0.6</v>
      </c>
      <c r="AU100" s="716">
        <v>28</v>
      </c>
      <c r="AV100" s="716">
        <f t="shared" si="39"/>
        <v>16.8</v>
      </c>
      <c r="AW100" s="716">
        <f t="shared" si="40"/>
        <v>111.99999999999999</v>
      </c>
      <c r="AX100" s="716">
        <f t="shared" si="53"/>
        <v>128.79999999999998</v>
      </c>
      <c r="AY100" s="716">
        <f t="shared" si="41"/>
        <v>0</v>
      </c>
      <c r="AZ100" s="716">
        <v>100</v>
      </c>
      <c r="BA100" s="716">
        <v>32.5</v>
      </c>
      <c r="BB100" s="720">
        <v>8500</v>
      </c>
      <c r="BC100" s="716">
        <v>40</v>
      </c>
      <c r="BD100" s="716">
        <v>10</v>
      </c>
      <c r="BE100" s="716">
        <v>80</v>
      </c>
      <c r="BF100" s="716"/>
      <c r="BG100" s="716"/>
      <c r="BH100" s="716"/>
      <c r="BI100" s="716"/>
      <c r="BJ100" s="744"/>
      <c r="BK100" s="744"/>
      <c r="BL100" s="744"/>
      <c r="BM100" s="745"/>
      <c r="BN100" s="722">
        <f t="shared" si="34"/>
        <v>406.11380999999994</v>
      </c>
      <c r="BO100" s="708"/>
      <c r="BP100" s="708"/>
      <c r="BQ100" s="724"/>
      <c r="BR100" s="703">
        <f t="shared" si="38"/>
        <v>399.99999999999994</v>
      </c>
      <c r="BS100" s="703">
        <f t="shared" si="42"/>
        <v>252</v>
      </c>
    </row>
    <row r="101" spans="1:71" s="726" customFormat="1">
      <c r="A101" s="704" t="s">
        <v>93</v>
      </c>
      <c r="B101" s="705">
        <v>35</v>
      </c>
      <c r="C101" s="706"/>
      <c r="D101" s="707" t="s">
        <v>795</v>
      </c>
      <c r="E101" s="706" t="s">
        <v>796</v>
      </c>
      <c r="F101" s="708">
        <v>44562</v>
      </c>
      <c r="G101" s="706" t="s">
        <v>922</v>
      </c>
      <c r="H101" s="709">
        <v>73760</v>
      </c>
      <c r="I101" s="710" t="s">
        <v>340</v>
      </c>
      <c r="J101" s="711"/>
      <c r="K101" s="725" t="s">
        <v>797</v>
      </c>
      <c r="L101" s="706" t="s">
        <v>798</v>
      </c>
      <c r="M101" s="713">
        <v>33087</v>
      </c>
      <c r="N101" s="714" t="s">
        <v>701</v>
      </c>
      <c r="O101" s="714">
        <v>4.298</v>
      </c>
      <c r="P101" s="714">
        <v>4.0129999999999999</v>
      </c>
      <c r="Q101" s="714">
        <v>1.4</v>
      </c>
      <c r="R101" s="714">
        <v>0.25</v>
      </c>
      <c r="S101" s="714">
        <v>74.667000000000002</v>
      </c>
      <c r="T101" s="714">
        <v>73.834999999999994</v>
      </c>
      <c r="U101" s="714">
        <v>59.082000000000001</v>
      </c>
      <c r="V101" s="714">
        <v>50.27</v>
      </c>
      <c r="W101" s="714">
        <v>29.042999999999999</v>
      </c>
      <c r="X101" s="714">
        <v>20.599</v>
      </c>
      <c r="Y101" s="714">
        <v>14.265000000000001</v>
      </c>
      <c r="Z101" s="714">
        <v>0.05</v>
      </c>
      <c r="AA101" s="714">
        <v>5.7590000000000003</v>
      </c>
      <c r="AB101" s="714">
        <v>40.11</v>
      </c>
      <c r="AC101" s="704">
        <v>35.299999999999997</v>
      </c>
      <c r="AD101" s="704">
        <v>30.43</v>
      </c>
      <c r="AE101" s="704">
        <v>25.57</v>
      </c>
      <c r="AF101" s="715">
        <v>18.34</v>
      </c>
      <c r="AG101" s="704"/>
      <c r="AH101" s="715"/>
      <c r="AI101" s="715"/>
      <c r="AJ101" s="716"/>
      <c r="AK101" s="704"/>
      <c r="AL101" s="717">
        <f t="shared" si="31"/>
        <v>0.28500000000000014</v>
      </c>
      <c r="AM101" s="718">
        <v>2.5099999999999998</v>
      </c>
      <c r="AN101" s="718">
        <v>2.4700000000000002</v>
      </c>
      <c r="AO101" s="718">
        <f t="shared" si="48"/>
        <v>0.97755000000000059</v>
      </c>
      <c r="AP101" s="718">
        <f t="shared" si="33"/>
        <v>5.9575500000000012</v>
      </c>
      <c r="AQ101" s="719">
        <v>6</v>
      </c>
      <c r="AR101" s="719">
        <v>5</v>
      </c>
      <c r="AS101" s="716">
        <v>28</v>
      </c>
      <c r="AT101" s="716">
        <v>0.6</v>
      </c>
      <c r="AU101" s="716">
        <v>28</v>
      </c>
      <c r="AV101" s="716">
        <f t="shared" si="39"/>
        <v>16.8</v>
      </c>
      <c r="AW101" s="716">
        <f t="shared" si="40"/>
        <v>140</v>
      </c>
      <c r="AX101" s="716">
        <f t="shared" si="53"/>
        <v>168</v>
      </c>
      <c r="AY101" s="716">
        <f t="shared" si="41"/>
        <v>11.199999999999989</v>
      </c>
      <c r="AZ101" s="716">
        <v>100</v>
      </c>
      <c r="BA101" s="716">
        <v>32.5</v>
      </c>
      <c r="BB101" s="763">
        <v>10000</v>
      </c>
      <c r="BC101" s="716">
        <v>52</v>
      </c>
      <c r="BD101" s="716">
        <v>10</v>
      </c>
      <c r="BE101" s="716">
        <v>80</v>
      </c>
      <c r="BF101" s="716"/>
      <c r="BG101" s="716"/>
      <c r="BH101" s="716"/>
      <c r="BI101" s="716"/>
      <c r="BJ101" s="744"/>
      <c r="BK101" s="744"/>
      <c r="BL101" s="744"/>
      <c r="BM101" s="745"/>
      <c r="BN101" s="722">
        <f t="shared" si="34"/>
        <v>437.25755000000004</v>
      </c>
      <c r="BO101" s="708"/>
      <c r="BP101" s="708"/>
      <c r="BQ101" s="724"/>
      <c r="BR101" s="703">
        <f t="shared" si="38"/>
        <v>500</v>
      </c>
      <c r="BS101" s="703">
        <f t="shared" si="42"/>
        <v>253</v>
      </c>
    </row>
    <row r="102" spans="1:71" s="726" customFormat="1">
      <c r="A102" s="764" t="s">
        <v>93</v>
      </c>
      <c r="B102" s="740">
        <v>36</v>
      </c>
      <c r="C102" s="707"/>
      <c r="D102" s="707" t="s">
        <v>226</v>
      </c>
      <c r="E102" s="706" t="s">
        <v>227</v>
      </c>
      <c r="F102" s="708">
        <v>42339</v>
      </c>
      <c r="G102" s="706" t="s">
        <v>498</v>
      </c>
      <c r="H102" s="709">
        <v>70619</v>
      </c>
      <c r="I102" s="710" t="s">
        <v>323</v>
      </c>
      <c r="J102" s="711"/>
      <c r="K102" s="765" t="s">
        <v>499</v>
      </c>
      <c r="L102" s="706" t="s">
        <v>500</v>
      </c>
      <c r="M102" s="713">
        <v>29392</v>
      </c>
      <c r="N102" s="714"/>
      <c r="O102" s="714">
        <v>22.305</v>
      </c>
      <c r="P102" s="714">
        <v>14.442</v>
      </c>
      <c r="Q102" s="714">
        <v>10.036</v>
      </c>
      <c r="R102" s="714">
        <v>0.27</v>
      </c>
      <c r="S102" s="714">
        <v>57.698999999999998</v>
      </c>
      <c r="T102" s="714">
        <v>45.878999999999998</v>
      </c>
      <c r="U102" s="766">
        <v>24.885999999999999</v>
      </c>
      <c r="V102" s="766">
        <v>15.606999999999999</v>
      </c>
      <c r="W102" s="766">
        <v>4.3</v>
      </c>
      <c r="X102" s="766">
        <v>1.585</v>
      </c>
      <c r="Y102" s="766">
        <v>6.4000000000000001E-2</v>
      </c>
      <c r="Z102" s="766">
        <v>0</v>
      </c>
      <c r="AA102" s="766">
        <v>3.629</v>
      </c>
      <c r="AB102" s="766">
        <v>6.96</v>
      </c>
      <c r="AC102" s="704">
        <v>5.47</v>
      </c>
      <c r="AD102" s="704">
        <v>5.18</v>
      </c>
      <c r="AE102" s="704">
        <v>3.01</v>
      </c>
      <c r="AF102" s="715">
        <v>1.4</v>
      </c>
      <c r="AG102" s="704"/>
      <c r="AH102" s="715"/>
      <c r="AI102" s="715"/>
      <c r="AJ102" s="716"/>
      <c r="AK102" s="704"/>
      <c r="AL102" s="717">
        <f t="shared" si="31"/>
        <v>7.8629999999999995</v>
      </c>
      <c r="AM102" s="718">
        <v>2.5099999999999998</v>
      </c>
      <c r="AN102" s="718">
        <v>2.4700000000000002</v>
      </c>
      <c r="AO102" s="718">
        <f t="shared" si="48"/>
        <v>26.970089999999999</v>
      </c>
      <c r="AP102" s="718">
        <f t="shared" si="33"/>
        <v>31.950089999999999</v>
      </c>
      <c r="AQ102" s="719">
        <v>4.5999999999999996</v>
      </c>
      <c r="AR102" s="719">
        <v>3.9999999999999996</v>
      </c>
      <c r="AS102" s="716">
        <v>28</v>
      </c>
      <c r="AT102" s="716">
        <v>0.6</v>
      </c>
      <c r="AU102" s="716">
        <v>28</v>
      </c>
      <c r="AV102" s="716">
        <f t="shared" si="39"/>
        <v>16.8</v>
      </c>
      <c r="AW102" s="716">
        <f t="shared" si="40"/>
        <v>111.99999999999999</v>
      </c>
      <c r="AX102" s="716">
        <f t="shared" si="53"/>
        <v>128.79999999999998</v>
      </c>
      <c r="AY102" s="716">
        <f t="shared" si="41"/>
        <v>0</v>
      </c>
      <c r="AZ102" s="716">
        <v>100</v>
      </c>
      <c r="BA102" s="716">
        <v>32.5</v>
      </c>
      <c r="BB102" s="720">
        <v>12000</v>
      </c>
      <c r="BC102" s="716">
        <v>62</v>
      </c>
      <c r="BD102" s="716">
        <v>10</v>
      </c>
      <c r="BE102" s="716">
        <v>80</v>
      </c>
      <c r="BF102" s="716"/>
      <c r="BG102" s="716"/>
      <c r="BH102" s="716"/>
      <c r="BI102" s="716"/>
      <c r="BJ102" s="744"/>
      <c r="BK102" s="744"/>
      <c r="BL102" s="744"/>
      <c r="BM102" s="745"/>
      <c r="BN102" s="722">
        <f t="shared" si="34"/>
        <v>445.25009</v>
      </c>
      <c r="BO102" s="708"/>
      <c r="BP102" s="708"/>
      <c r="BQ102" s="724"/>
      <c r="BR102" s="703">
        <f t="shared" si="38"/>
        <v>399.99999999999994</v>
      </c>
      <c r="BS102" s="703">
        <f t="shared" si="42"/>
        <v>254</v>
      </c>
    </row>
    <row r="103" spans="1:71" s="726" customFormat="1">
      <c r="A103" s="739" t="s">
        <v>93</v>
      </c>
      <c r="B103" s="740">
        <v>37</v>
      </c>
      <c r="C103" s="741"/>
      <c r="D103" s="767" t="s">
        <v>118</v>
      </c>
      <c r="E103" s="741" t="s">
        <v>501</v>
      </c>
      <c r="F103" s="768">
        <v>43435</v>
      </c>
      <c r="G103" s="741" t="s">
        <v>502</v>
      </c>
      <c r="H103" s="769">
        <v>70619</v>
      </c>
      <c r="I103" s="770" t="s">
        <v>323</v>
      </c>
      <c r="J103" s="771">
        <v>474434</v>
      </c>
      <c r="K103" s="765" t="s">
        <v>503</v>
      </c>
      <c r="L103" s="706"/>
      <c r="M103" s="772"/>
      <c r="N103" s="714" t="s">
        <v>504</v>
      </c>
      <c r="O103" s="714">
        <v>12.045</v>
      </c>
      <c r="P103" s="714">
        <v>10.035</v>
      </c>
      <c r="Q103" s="714">
        <v>4.1989999999999998</v>
      </c>
      <c r="R103" s="714">
        <v>0.25</v>
      </c>
      <c r="S103" s="714">
        <v>12.01</v>
      </c>
      <c r="T103" s="714">
        <v>11.212999999999999</v>
      </c>
      <c r="U103" s="714">
        <v>7.9</v>
      </c>
      <c r="V103" s="714">
        <v>6.4829999999999997</v>
      </c>
      <c r="W103" s="714">
        <v>4.6059999999999999</v>
      </c>
      <c r="X103" s="714">
        <v>4.2229999999999999</v>
      </c>
      <c r="Y103" s="714">
        <v>3.125</v>
      </c>
      <c r="Z103" s="714">
        <v>0.05</v>
      </c>
      <c r="AA103" s="714">
        <v>5.53</v>
      </c>
      <c r="AB103" s="714">
        <v>3.91</v>
      </c>
      <c r="AC103" s="704">
        <v>1.85</v>
      </c>
      <c r="AD103" s="704">
        <v>0.39</v>
      </c>
      <c r="AE103" s="704"/>
      <c r="AF103" s="715"/>
      <c r="AG103" s="704"/>
      <c r="AH103" s="715"/>
      <c r="AI103" s="715"/>
      <c r="AJ103" s="716"/>
      <c r="AK103" s="704"/>
      <c r="AL103" s="717">
        <f t="shared" si="31"/>
        <v>2.0099999999999998</v>
      </c>
      <c r="AM103" s="718">
        <v>2.5099999999999998</v>
      </c>
      <c r="AN103" s="718">
        <v>2.4700000000000002</v>
      </c>
      <c r="AO103" s="718">
        <f t="shared" si="48"/>
        <v>6.8942999999999994</v>
      </c>
      <c r="AP103" s="718">
        <f t="shared" si="33"/>
        <v>11.8743</v>
      </c>
      <c r="AQ103" s="719">
        <v>4.5999999999999996</v>
      </c>
      <c r="AR103" s="719">
        <v>3.9999999999999996</v>
      </c>
      <c r="AS103" s="716">
        <v>28</v>
      </c>
      <c r="AT103" s="716">
        <v>0.6</v>
      </c>
      <c r="AU103" s="716">
        <v>28</v>
      </c>
      <c r="AV103" s="716">
        <f t="shared" si="39"/>
        <v>16.8</v>
      </c>
      <c r="AW103" s="716">
        <f t="shared" si="40"/>
        <v>111.99999999999999</v>
      </c>
      <c r="AX103" s="716">
        <f t="shared" si="53"/>
        <v>128.79999999999998</v>
      </c>
      <c r="AY103" s="716">
        <f t="shared" si="41"/>
        <v>0</v>
      </c>
      <c r="AZ103" s="716">
        <v>100</v>
      </c>
      <c r="BA103" s="716"/>
      <c r="BB103" s="720">
        <v>10000</v>
      </c>
      <c r="BC103" s="716">
        <v>52</v>
      </c>
      <c r="BD103" s="716">
        <v>10</v>
      </c>
      <c r="BE103" s="716">
        <v>80</v>
      </c>
      <c r="BF103" s="716"/>
      <c r="BG103" s="716"/>
      <c r="BH103" s="716"/>
      <c r="BI103" s="716"/>
      <c r="BJ103" s="744"/>
      <c r="BK103" s="744"/>
      <c r="BL103" s="744"/>
      <c r="BM103" s="745"/>
      <c r="BN103" s="722">
        <f t="shared" si="34"/>
        <v>382.67430000000002</v>
      </c>
      <c r="BO103" s="708"/>
      <c r="BP103" s="708"/>
      <c r="BQ103" s="724"/>
      <c r="BR103" s="703">
        <f t="shared" si="38"/>
        <v>399.99999999999994</v>
      </c>
      <c r="BS103" s="703">
        <f t="shared" si="42"/>
        <v>255</v>
      </c>
    </row>
    <row r="104" spans="1:71" s="726" customFormat="1">
      <c r="A104" s="739" t="s">
        <v>93</v>
      </c>
      <c r="B104" s="740">
        <v>38</v>
      </c>
      <c r="C104" s="741"/>
      <c r="D104" s="767" t="s">
        <v>119</v>
      </c>
      <c r="E104" s="741" t="s">
        <v>120</v>
      </c>
      <c r="F104" s="768">
        <v>40664</v>
      </c>
      <c r="G104" s="706" t="s">
        <v>505</v>
      </c>
      <c r="H104" s="769">
        <v>70619</v>
      </c>
      <c r="I104" s="770" t="s">
        <v>323</v>
      </c>
      <c r="J104" s="771">
        <v>4797741</v>
      </c>
      <c r="K104" s="765"/>
      <c r="L104" s="706"/>
      <c r="M104" s="773">
        <v>19056</v>
      </c>
      <c r="N104" s="714"/>
      <c r="O104" s="714">
        <v>23.177</v>
      </c>
      <c r="P104" s="714">
        <v>22.672999999999998</v>
      </c>
      <c r="Q104" s="714">
        <v>11.276999999999999</v>
      </c>
      <c r="R104" s="714">
        <v>0.25</v>
      </c>
      <c r="S104" s="714">
        <v>41.673000000000002</v>
      </c>
      <c r="T104" s="714">
        <v>39.683</v>
      </c>
      <c r="U104" s="714">
        <v>27.556000000000001</v>
      </c>
      <c r="V104" s="714">
        <v>22.890999999999998</v>
      </c>
      <c r="W104" s="714">
        <v>18.385000000000002</v>
      </c>
      <c r="X104" s="714">
        <v>14.077999999999999</v>
      </c>
      <c r="Y104" s="714">
        <v>10.247</v>
      </c>
      <c r="Z104" s="714">
        <v>0.05</v>
      </c>
      <c r="AA104" s="714">
        <v>34.377000000000002</v>
      </c>
      <c r="AB104" s="714">
        <v>32.29</v>
      </c>
      <c r="AC104" s="704">
        <v>27.41</v>
      </c>
      <c r="AD104" s="704">
        <v>17.809999999999999</v>
      </c>
      <c r="AE104" s="704">
        <v>8.27</v>
      </c>
      <c r="AF104" s="715">
        <v>6.64</v>
      </c>
      <c r="AG104" s="762"/>
      <c r="AH104" s="715"/>
      <c r="AI104" s="715"/>
      <c r="AJ104" s="716"/>
      <c r="AK104" s="704"/>
      <c r="AL104" s="717">
        <f t="shared" si="31"/>
        <v>0.50400000000000134</v>
      </c>
      <c r="AM104" s="718">
        <v>2.5099999999999998</v>
      </c>
      <c r="AN104" s="718">
        <v>2.4700000000000002</v>
      </c>
      <c r="AO104" s="718">
        <f t="shared" si="48"/>
        <v>1.7287200000000047</v>
      </c>
      <c r="AP104" s="718">
        <f t="shared" si="33"/>
        <v>6.7087200000000049</v>
      </c>
      <c r="AQ104" s="719">
        <v>4.5999999999999996</v>
      </c>
      <c r="AR104" s="719">
        <v>3.9999999999999996</v>
      </c>
      <c r="AS104" s="716">
        <v>28</v>
      </c>
      <c r="AT104" s="716">
        <v>0.6</v>
      </c>
      <c r="AU104" s="716">
        <v>28</v>
      </c>
      <c r="AV104" s="716">
        <f t="shared" si="39"/>
        <v>16.8</v>
      </c>
      <c r="AW104" s="716">
        <f t="shared" si="40"/>
        <v>111.99999999999999</v>
      </c>
      <c r="AX104" s="716">
        <f t="shared" si="53"/>
        <v>128.79999999999998</v>
      </c>
      <c r="AY104" s="716">
        <f t="shared" si="41"/>
        <v>0</v>
      </c>
      <c r="AZ104" s="716">
        <v>100</v>
      </c>
      <c r="BA104" s="716"/>
      <c r="BB104" s="720">
        <v>10000</v>
      </c>
      <c r="BC104" s="716">
        <v>52</v>
      </c>
      <c r="BD104" s="716">
        <v>10</v>
      </c>
      <c r="BE104" s="716">
        <v>80</v>
      </c>
      <c r="BF104" s="716"/>
      <c r="BG104" s="716"/>
      <c r="BH104" s="716"/>
      <c r="BI104" s="716"/>
      <c r="BJ104" s="744"/>
      <c r="BK104" s="744"/>
      <c r="BL104" s="744"/>
      <c r="BM104" s="745"/>
      <c r="BN104" s="722">
        <f t="shared" si="34"/>
        <v>377.50871999999998</v>
      </c>
      <c r="BO104" s="708"/>
      <c r="BP104" s="708"/>
      <c r="BQ104" s="724"/>
      <c r="BR104" s="703">
        <f t="shared" si="38"/>
        <v>399.99999999999994</v>
      </c>
      <c r="BS104" s="703">
        <f t="shared" si="42"/>
        <v>256</v>
      </c>
    </row>
    <row r="105" spans="1:71" s="726" customFormat="1">
      <c r="A105" s="704" t="s">
        <v>93</v>
      </c>
      <c r="B105" s="705">
        <v>39</v>
      </c>
      <c r="C105" s="706"/>
      <c r="D105" s="707" t="s">
        <v>506</v>
      </c>
      <c r="E105" s="706" t="s">
        <v>121</v>
      </c>
      <c r="F105" s="768">
        <v>41244</v>
      </c>
      <c r="G105" s="706" t="s">
        <v>507</v>
      </c>
      <c r="H105" s="709">
        <v>70184</v>
      </c>
      <c r="I105" s="710" t="s">
        <v>323</v>
      </c>
      <c r="J105" s="711">
        <v>247653</v>
      </c>
      <c r="K105" s="725" t="s">
        <v>508</v>
      </c>
      <c r="L105" s="706" t="s">
        <v>799</v>
      </c>
      <c r="M105" s="713">
        <v>14756</v>
      </c>
      <c r="N105" s="714"/>
      <c r="O105" s="714">
        <v>6.38</v>
      </c>
      <c r="P105" s="714">
        <v>5.9630000000000001</v>
      </c>
      <c r="Q105" s="714">
        <v>3.246</v>
      </c>
      <c r="R105" s="714">
        <v>0.25</v>
      </c>
      <c r="S105" s="714">
        <v>28.13</v>
      </c>
      <c r="T105" s="714">
        <v>27.428999999999998</v>
      </c>
      <c r="U105" s="714">
        <v>17.113</v>
      </c>
      <c r="V105" s="714">
        <v>14.606999999999999</v>
      </c>
      <c r="W105" s="714">
        <v>10.500999999999999</v>
      </c>
      <c r="X105" s="714">
        <v>9.4179999999999993</v>
      </c>
      <c r="Y105" s="714">
        <v>6.0129999999999999</v>
      </c>
      <c r="Z105" s="714">
        <v>0.05</v>
      </c>
      <c r="AA105" s="714">
        <v>14.563000000000001</v>
      </c>
      <c r="AB105" s="714">
        <v>9.9499999999999993</v>
      </c>
      <c r="AC105" s="704">
        <v>8.7899999999999991</v>
      </c>
      <c r="AD105" s="704">
        <v>5.39</v>
      </c>
      <c r="AE105" s="704">
        <v>3.31</v>
      </c>
      <c r="AF105" s="715">
        <v>1.62</v>
      </c>
      <c r="AG105" s="704"/>
      <c r="AH105" s="715"/>
      <c r="AI105" s="715"/>
      <c r="AJ105" s="716"/>
      <c r="AK105" s="704"/>
      <c r="AL105" s="717">
        <f t="shared" si="31"/>
        <v>0.41699999999999982</v>
      </c>
      <c r="AM105" s="718">
        <v>2.5099999999999998</v>
      </c>
      <c r="AN105" s="718">
        <v>2.4700000000000002</v>
      </c>
      <c r="AO105" s="718">
        <f t="shared" si="48"/>
        <v>1.4303099999999995</v>
      </c>
      <c r="AP105" s="718">
        <f t="shared" si="33"/>
        <v>6.41031</v>
      </c>
      <c r="AQ105" s="719">
        <v>4.5999999999999996</v>
      </c>
      <c r="AR105" s="719">
        <v>3.9999999999999996</v>
      </c>
      <c r="AS105" s="716">
        <v>28</v>
      </c>
      <c r="AT105" s="716">
        <v>0.6</v>
      </c>
      <c r="AU105" s="716">
        <v>28</v>
      </c>
      <c r="AV105" s="716">
        <f t="shared" si="39"/>
        <v>16.8</v>
      </c>
      <c r="AW105" s="716">
        <f t="shared" si="40"/>
        <v>111.99999999999999</v>
      </c>
      <c r="AX105" s="716">
        <f t="shared" si="53"/>
        <v>128.79999999999998</v>
      </c>
      <c r="AY105" s="716">
        <f t="shared" si="41"/>
        <v>0</v>
      </c>
      <c r="AZ105" s="716">
        <v>100</v>
      </c>
      <c r="BA105" s="716"/>
      <c r="BB105" s="720">
        <v>8500</v>
      </c>
      <c r="BC105" s="716">
        <v>40</v>
      </c>
      <c r="BD105" s="716">
        <v>10</v>
      </c>
      <c r="BE105" s="716">
        <v>80</v>
      </c>
      <c r="BF105" s="716"/>
      <c r="BG105" s="716"/>
      <c r="BH105" s="716"/>
      <c r="BI105" s="716"/>
      <c r="BJ105" s="744">
        <v>15</v>
      </c>
      <c r="BK105" s="744"/>
      <c r="BL105" s="744"/>
      <c r="BM105" s="745"/>
      <c r="BN105" s="722">
        <f t="shared" si="34"/>
        <v>380.21030999999999</v>
      </c>
      <c r="BO105" s="708"/>
      <c r="BP105" s="708"/>
      <c r="BQ105" s="724"/>
      <c r="BR105" s="703">
        <f t="shared" si="38"/>
        <v>399.99999999999994</v>
      </c>
      <c r="BS105" s="703">
        <f t="shared" si="42"/>
        <v>257</v>
      </c>
    </row>
    <row r="106" spans="1:71" s="726" customFormat="1">
      <c r="A106" s="739" t="s">
        <v>93</v>
      </c>
      <c r="B106" s="740">
        <v>40</v>
      </c>
      <c r="C106" s="741"/>
      <c r="D106" s="707" t="s">
        <v>174</v>
      </c>
      <c r="E106" s="706" t="s">
        <v>109</v>
      </c>
      <c r="F106" s="708">
        <v>41456</v>
      </c>
      <c r="G106" s="706" t="s">
        <v>509</v>
      </c>
      <c r="H106" s="709">
        <v>70619</v>
      </c>
      <c r="I106" s="710" t="s">
        <v>323</v>
      </c>
      <c r="J106" s="711">
        <v>34218479</v>
      </c>
      <c r="K106" s="725"/>
      <c r="L106" s="706" t="s">
        <v>800</v>
      </c>
      <c r="M106" s="713"/>
      <c r="N106" s="714"/>
      <c r="O106" s="714">
        <v>8.782</v>
      </c>
      <c r="P106" s="714">
        <v>8.5649999999999995</v>
      </c>
      <c r="Q106" s="714">
        <v>4.6879999999999997</v>
      </c>
      <c r="R106" s="714">
        <v>0.25</v>
      </c>
      <c r="S106" s="714">
        <v>23.765999999999998</v>
      </c>
      <c r="T106" s="714">
        <v>22.556999999999999</v>
      </c>
      <c r="U106" s="714">
        <v>17.047000000000001</v>
      </c>
      <c r="V106" s="714">
        <v>15.412000000000001</v>
      </c>
      <c r="W106" s="714">
        <v>10.061999999999999</v>
      </c>
      <c r="X106" s="714">
        <v>7.5490000000000004</v>
      </c>
      <c r="Y106" s="714">
        <v>5.3040000000000003</v>
      </c>
      <c r="Z106" s="714">
        <v>0.05</v>
      </c>
      <c r="AA106" s="714">
        <v>23.808</v>
      </c>
      <c r="AB106" s="714">
        <v>20.75</v>
      </c>
      <c r="AC106" s="704">
        <v>17.13</v>
      </c>
      <c r="AD106" s="704">
        <v>15.8</v>
      </c>
      <c r="AE106" s="704">
        <v>11.65</v>
      </c>
      <c r="AF106" s="715">
        <v>8.31</v>
      </c>
      <c r="AG106" s="704"/>
      <c r="AH106" s="715"/>
      <c r="AI106" s="715"/>
      <c r="AJ106" s="716"/>
      <c r="AK106" s="704"/>
      <c r="AL106" s="717">
        <f t="shared" si="31"/>
        <v>0.21700000000000053</v>
      </c>
      <c r="AM106" s="718">
        <v>2.5099999999999998</v>
      </c>
      <c r="AN106" s="718">
        <v>2.4700000000000002</v>
      </c>
      <c r="AO106" s="718">
        <f t="shared" si="48"/>
        <v>0.7443100000000018</v>
      </c>
      <c r="AP106" s="718">
        <f t="shared" si="33"/>
        <v>5.7243100000000027</v>
      </c>
      <c r="AQ106" s="719">
        <v>4.5999999999999996</v>
      </c>
      <c r="AR106" s="719">
        <v>3.9999999999999996</v>
      </c>
      <c r="AS106" s="716">
        <v>28</v>
      </c>
      <c r="AT106" s="716">
        <v>0.6</v>
      </c>
      <c r="AU106" s="716">
        <v>28</v>
      </c>
      <c r="AV106" s="716">
        <f t="shared" si="39"/>
        <v>16.8</v>
      </c>
      <c r="AW106" s="716">
        <f t="shared" si="40"/>
        <v>111.99999999999999</v>
      </c>
      <c r="AX106" s="716">
        <f t="shared" si="53"/>
        <v>128.79999999999998</v>
      </c>
      <c r="AY106" s="716">
        <f t="shared" si="41"/>
        <v>0</v>
      </c>
      <c r="AZ106" s="716">
        <v>100</v>
      </c>
      <c r="BA106" s="716"/>
      <c r="BB106" s="720">
        <v>5000</v>
      </c>
      <c r="BC106" s="716">
        <v>25</v>
      </c>
      <c r="BD106" s="716">
        <v>10</v>
      </c>
      <c r="BE106" s="716">
        <v>80</v>
      </c>
      <c r="BF106" s="716"/>
      <c r="BG106" s="716"/>
      <c r="BH106" s="716"/>
      <c r="BI106" s="716"/>
      <c r="BJ106" s="744"/>
      <c r="BK106" s="744"/>
      <c r="BL106" s="744"/>
      <c r="BM106" s="745"/>
      <c r="BN106" s="722">
        <f t="shared" si="34"/>
        <v>349.52431000000001</v>
      </c>
      <c r="BO106" s="708"/>
      <c r="BP106" s="708"/>
      <c r="BQ106" s="724"/>
      <c r="BR106" s="703">
        <f t="shared" si="38"/>
        <v>399.99999999999994</v>
      </c>
      <c r="BS106" s="703">
        <f t="shared" si="42"/>
        <v>258</v>
      </c>
    </row>
    <row r="107" spans="1:71" s="726" customFormat="1">
      <c r="A107" s="704" t="s">
        <v>93</v>
      </c>
      <c r="B107" s="705">
        <v>41</v>
      </c>
      <c r="C107" s="706"/>
      <c r="D107" s="707" t="s">
        <v>122</v>
      </c>
      <c r="E107" s="706" t="s">
        <v>123</v>
      </c>
      <c r="F107" s="708">
        <v>37956</v>
      </c>
      <c r="G107" s="706" t="s">
        <v>510</v>
      </c>
      <c r="H107" s="709">
        <v>70184</v>
      </c>
      <c r="I107" s="710" t="s">
        <v>323</v>
      </c>
      <c r="J107" s="771" t="s">
        <v>511</v>
      </c>
      <c r="K107" s="725" t="s">
        <v>512</v>
      </c>
      <c r="L107" s="706" t="s">
        <v>513</v>
      </c>
      <c r="M107" s="713">
        <v>28243</v>
      </c>
      <c r="N107" s="714"/>
      <c r="O107" s="714">
        <v>3.036</v>
      </c>
      <c r="P107" s="714">
        <v>3.0009999999999999</v>
      </c>
      <c r="Q107" s="714">
        <v>0.7</v>
      </c>
      <c r="R107" s="714">
        <v>0.25</v>
      </c>
      <c r="S107" s="714">
        <v>7.1470000000000002</v>
      </c>
      <c r="T107" s="714">
        <v>6.5010000000000003</v>
      </c>
      <c r="U107" s="714">
        <v>2.6920000000000002</v>
      </c>
      <c r="V107" s="714">
        <v>1.232</v>
      </c>
      <c r="W107" s="714">
        <v>1.0189999999999999</v>
      </c>
      <c r="X107" s="714">
        <v>0.78900000000000003</v>
      </c>
      <c r="Y107" s="714">
        <v>0.48199999999999998</v>
      </c>
      <c r="Z107" s="714">
        <v>0.05</v>
      </c>
      <c r="AA107" s="714">
        <v>3.4990000000000001</v>
      </c>
      <c r="AB107" s="714">
        <v>2.59</v>
      </c>
      <c r="AC107" s="704">
        <v>2.31</v>
      </c>
      <c r="AD107" s="704">
        <v>1.86</v>
      </c>
      <c r="AE107" s="704">
        <v>1.64</v>
      </c>
      <c r="AF107" s="715">
        <v>0.75</v>
      </c>
      <c r="AG107" s="704"/>
      <c r="AH107" s="715"/>
      <c r="AI107" s="715"/>
      <c r="AJ107" s="716"/>
      <c r="AK107" s="704"/>
      <c r="AL107" s="717">
        <f t="shared" si="31"/>
        <v>3.5000000000000142E-2</v>
      </c>
      <c r="AM107" s="718">
        <v>2.5099999999999998</v>
      </c>
      <c r="AN107" s="718">
        <v>2.4700000000000002</v>
      </c>
      <c r="AO107" s="718">
        <f t="shared" si="48"/>
        <v>0.12005000000000049</v>
      </c>
      <c r="AP107" s="718">
        <f t="shared" si="33"/>
        <v>5.1000500000000013</v>
      </c>
      <c r="AQ107" s="719">
        <v>4.5999999999999996</v>
      </c>
      <c r="AR107" s="719">
        <v>3.9999999999999996</v>
      </c>
      <c r="AS107" s="716">
        <v>28</v>
      </c>
      <c r="AT107" s="716">
        <v>0.6</v>
      </c>
      <c r="AU107" s="716">
        <v>28</v>
      </c>
      <c r="AV107" s="716">
        <f t="shared" si="39"/>
        <v>16.8</v>
      </c>
      <c r="AW107" s="716">
        <f t="shared" si="40"/>
        <v>111.99999999999999</v>
      </c>
      <c r="AX107" s="716">
        <f t="shared" si="53"/>
        <v>128.79999999999998</v>
      </c>
      <c r="AY107" s="716">
        <f t="shared" si="41"/>
        <v>0</v>
      </c>
      <c r="AZ107" s="716">
        <v>100</v>
      </c>
      <c r="BA107" s="716"/>
      <c r="BB107" s="720">
        <v>5000</v>
      </c>
      <c r="BC107" s="716">
        <v>25</v>
      </c>
      <c r="BD107" s="716">
        <v>10</v>
      </c>
      <c r="BE107" s="716">
        <v>80</v>
      </c>
      <c r="BF107" s="716"/>
      <c r="BG107" s="716"/>
      <c r="BH107" s="716"/>
      <c r="BI107" s="716"/>
      <c r="BJ107" s="744"/>
      <c r="BK107" s="744"/>
      <c r="BL107" s="744"/>
      <c r="BM107" s="745"/>
      <c r="BN107" s="722">
        <f t="shared" si="34"/>
        <v>348.90004999999996</v>
      </c>
      <c r="BO107" s="708"/>
      <c r="BP107" s="708"/>
      <c r="BQ107" s="724"/>
      <c r="BR107" s="703">
        <f t="shared" si="38"/>
        <v>399.99999999999994</v>
      </c>
      <c r="BS107" s="703">
        <f t="shared" si="42"/>
        <v>259</v>
      </c>
    </row>
    <row r="108" spans="1:71" s="726" customFormat="1">
      <c r="A108" s="704" t="s">
        <v>93</v>
      </c>
      <c r="B108" s="705">
        <v>42</v>
      </c>
      <c r="C108" s="706"/>
      <c r="D108" s="707" t="s">
        <v>923</v>
      </c>
      <c r="E108" s="706" t="s">
        <v>84</v>
      </c>
      <c r="F108" s="708">
        <v>45261</v>
      </c>
      <c r="G108" s="706" t="s">
        <v>532</v>
      </c>
      <c r="H108" s="709">
        <v>70619</v>
      </c>
      <c r="I108" s="710" t="s">
        <v>323</v>
      </c>
      <c r="J108" s="771" t="s">
        <v>924</v>
      </c>
      <c r="K108" s="725"/>
      <c r="L108" s="706" t="s">
        <v>925</v>
      </c>
      <c r="M108" s="713">
        <v>22264</v>
      </c>
      <c r="N108" s="714"/>
      <c r="O108" s="714">
        <v>5.3440000000000003</v>
      </c>
      <c r="P108" s="714">
        <v>4.226</v>
      </c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714"/>
      <c r="AB108" s="714"/>
      <c r="AC108" s="704"/>
      <c r="AD108" s="704"/>
      <c r="AE108" s="704"/>
      <c r="AF108" s="715"/>
      <c r="AG108" s="704"/>
      <c r="AH108" s="715"/>
      <c r="AI108" s="715"/>
      <c r="AJ108" s="716"/>
      <c r="AK108" s="704"/>
      <c r="AL108" s="717">
        <f t="shared" si="31"/>
        <v>1.1180000000000003</v>
      </c>
      <c r="AM108" s="718">
        <v>2.5099999999999998</v>
      </c>
      <c r="AN108" s="718">
        <v>2.4700000000000002</v>
      </c>
      <c r="AO108" s="718">
        <f t="shared" si="48"/>
        <v>3.8347400000000014</v>
      </c>
      <c r="AP108" s="718">
        <f t="shared" si="33"/>
        <v>8.8147400000000022</v>
      </c>
      <c r="AQ108" s="719">
        <v>4.5999999999999996</v>
      </c>
      <c r="AR108" s="719">
        <v>3.9999999999999996</v>
      </c>
      <c r="AS108" s="716">
        <v>28</v>
      </c>
      <c r="AT108" s="716">
        <v>0.6</v>
      </c>
      <c r="AU108" s="716">
        <v>28</v>
      </c>
      <c r="AV108" s="716">
        <f t="shared" ref="AV108" si="54">AT108*AU108</f>
        <v>16.8</v>
      </c>
      <c r="AW108" s="716">
        <f t="shared" ref="AW108" si="55">AR108*AS108</f>
        <v>111.99999999999999</v>
      </c>
      <c r="AX108" s="716">
        <f t="shared" ref="AX108" si="56">AQ108*AS108</f>
        <v>128.79999999999998</v>
      </c>
      <c r="AY108" s="716">
        <f t="shared" ref="AY108" si="57">AX108-(AV108+AW108)</f>
        <v>0</v>
      </c>
      <c r="AZ108" s="716">
        <v>100</v>
      </c>
      <c r="BA108" s="716">
        <v>32.5</v>
      </c>
      <c r="BB108" s="720">
        <v>12000</v>
      </c>
      <c r="BC108" s="716">
        <f>62+(62/12)</f>
        <v>67.166666666666671</v>
      </c>
      <c r="BD108" s="716">
        <v>10</v>
      </c>
      <c r="BE108" s="716">
        <v>80</v>
      </c>
      <c r="BF108" s="716"/>
      <c r="BG108" s="716"/>
      <c r="BH108" s="716"/>
      <c r="BI108" s="716"/>
      <c r="BJ108" s="744">
        <v>20</v>
      </c>
      <c r="BK108" s="744"/>
      <c r="BL108" s="744"/>
      <c r="BM108" s="745"/>
      <c r="BN108" s="722">
        <f t="shared" si="34"/>
        <v>447.28140666666667</v>
      </c>
      <c r="BO108" s="708"/>
      <c r="BP108" s="708"/>
      <c r="BQ108" s="724"/>
      <c r="BR108" s="703">
        <f t="shared" si="38"/>
        <v>399.99999999999994</v>
      </c>
      <c r="BS108" s="703">
        <f t="shared" si="42"/>
        <v>260</v>
      </c>
    </row>
    <row r="109" spans="1:71" s="726" customFormat="1">
      <c r="A109" s="705" t="s">
        <v>93</v>
      </c>
      <c r="B109" s="705">
        <v>43</v>
      </c>
      <c r="C109" s="705"/>
      <c r="D109" s="707" t="s">
        <v>926</v>
      </c>
      <c r="E109" s="706" t="s">
        <v>927</v>
      </c>
      <c r="F109" s="708">
        <v>45017</v>
      </c>
      <c r="G109" s="732" t="s">
        <v>928</v>
      </c>
      <c r="H109" s="709">
        <v>70619</v>
      </c>
      <c r="I109" s="710" t="s">
        <v>323</v>
      </c>
      <c r="J109" s="771"/>
      <c r="K109" s="725" t="s">
        <v>929</v>
      </c>
      <c r="L109" s="706" t="s">
        <v>930</v>
      </c>
      <c r="M109" s="774">
        <v>33028</v>
      </c>
      <c r="N109" s="714" t="s">
        <v>931</v>
      </c>
      <c r="O109" s="714">
        <v>15.163</v>
      </c>
      <c r="P109" s="714">
        <v>12.196999999999999</v>
      </c>
      <c r="Q109" s="714">
        <v>4.4269999999999996</v>
      </c>
      <c r="R109" s="714">
        <v>0.25</v>
      </c>
      <c r="S109" s="714">
        <v>21.553999999999998</v>
      </c>
      <c r="T109" s="714">
        <v>19.459</v>
      </c>
      <c r="U109" s="714">
        <v>14.432</v>
      </c>
      <c r="V109" s="714">
        <v>9.9309999999999992</v>
      </c>
      <c r="W109" s="714">
        <v>1.98</v>
      </c>
      <c r="X109" s="714"/>
      <c r="Y109" s="714"/>
      <c r="Z109" s="714"/>
      <c r="AA109" s="714"/>
      <c r="AB109" s="714"/>
      <c r="AC109" s="704"/>
      <c r="AD109" s="704"/>
      <c r="AE109" s="704"/>
      <c r="AF109" s="715"/>
      <c r="AG109" s="704"/>
      <c r="AH109" s="715"/>
      <c r="AI109" s="715"/>
      <c r="AJ109" s="716"/>
      <c r="AK109" s="704"/>
      <c r="AL109" s="717">
        <f t="shared" si="31"/>
        <v>2.9660000000000011</v>
      </c>
      <c r="AM109" s="718">
        <v>2.5099999999999998</v>
      </c>
      <c r="AN109" s="718">
        <v>2.4700000000000002</v>
      </c>
      <c r="AO109" s="718">
        <f t="shared" si="48"/>
        <v>10.173380000000003</v>
      </c>
      <c r="AP109" s="718">
        <f t="shared" si="33"/>
        <v>15.153380000000004</v>
      </c>
      <c r="AQ109" s="719">
        <v>4.5999999999999996</v>
      </c>
      <c r="AR109" s="719">
        <v>3.9999999999999996</v>
      </c>
      <c r="AS109" s="716">
        <v>28</v>
      </c>
      <c r="AT109" s="716">
        <v>0.6</v>
      </c>
      <c r="AU109" s="716">
        <v>28</v>
      </c>
      <c r="AV109" s="716">
        <f t="shared" si="39"/>
        <v>16.8</v>
      </c>
      <c r="AW109" s="716">
        <f t="shared" si="40"/>
        <v>111.99999999999999</v>
      </c>
      <c r="AX109" s="716">
        <f>AQ109*AS109</f>
        <v>128.79999999999998</v>
      </c>
      <c r="AY109" s="716">
        <f t="shared" si="41"/>
        <v>0</v>
      </c>
      <c r="AZ109" s="716">
        <v>100</v>
      </c>
      <c r="BA109" s="716">
        <v>32.5</v>
      </c>
      <c r="BB109" s="720">
        <v>10000</v>
      </c>
      <c r="BC109" s="716">
        <v>52</v>
      </c>
      <c r="BD109" s="716">
        <v>10</v>
      </c>
      <c r="BE109" s="716">
        <v>80</v>
      </c>
      <c r="BF109" s="716"/>
      <c r="BG109" s="716"/>
      <c r="BH109" s="716"/>
      <c r="BI109" s="716"/>
      <c r="BJ109" s="744">
        <f>25+20+20</f>
        <v>65</v>
      </c>
      <c r="BK109" s="744"/>
      <c r="BL109" s="744"/>
      <c r="BM109" s="745"/>
      <c r="BN109" s="722">
        <f t="shared" si="34"/>
        <v>483.45337999999998</v>
      </c>
      <c r="BO109" s="708"/>
      <c r="BP109" s="708"/>
      <c r="BQ109" s="724"/>
      <c r="BR109" s="703">
        <f t="shared" si="38"/>
        <v>399.99999999999994</v>
      </c>
      <c r="BS109" s="703">
        <f t="shared" si="42"/>
        <v>261</v>
      </c>
    </row>
    <row r="110" spans="1:71" s="726" customFormat="1">
      <c r="A110" s="704" t="s">
        <v>93</v>
      </c>
      <c r="B110" s="705">
        <v>44</v>
      </c>
      <c r="C110" s="706"/>
      <c r="D110" s="707" t="s">
        <v>243</v>
      </c>
      <c r="E110" s="706" t="s">
        <v>801</v>
      </c>
      <c r="F110" s="708">
        <v>44652</v>
      </c>
      <c r="G110" s="706" t="s">
        <v>514</v>
      </c>
      <c r="H110" s="709">
        <v>70619</v>
      </c>
      <c r="I110" s="710" t="s">
        <v>323</v>
      </c>
      <c r="J110" s="771">
        <v>7827974</v>
      </c>
      <c r="K110" s="725" t="s">
        <v>802</v>
      </c>
      <c r="L110" s="706" t="s">
        <v>803</v>
      </c>
      <c r="M110" s="713">
        <v>27984</v>
      </c>
      <c r="N110" s="714" t="s">
        <v>804</v>
      </c>
      <c r="O110" s="714">
        <v>9.8010000000000002</v>
      </c>
      <c r="P110" s="714">
        <v>8.9979999999999993</v>
      </c>
      <c r="Q110" s="714">
        <v>5.6130000000000004</v>
      </c>
      <c r="R110" s="714">
        <v>0.25</v>
      </c>
      <c r="S110" s="714">
        <v>9.9819999999999993</v>
      </c>
      <c r="T110" s="714">
        <v>9.9819999999999993</v>
      </c>
      <c r="U110" s="714">
        <v>9.9819999999999993</v>
      </c>
      <c r="V110" s="714">
        <v>9.8290000000000006</v>
      </c>
      <c r="W110" s="714">
        <v>9.8290000000000006</v>
      </c>
      <c r="X110" s="714">
        <v>7.383</v>
      </c>
      <c r="Y110" s="714">
        <v>5.8029999999999999</v>
      </c>
      <c r="Z110" s="714">
        <v>0.05</v>
      </c>
      <c r="AA110" s="714">
        <v>14.49</v>
      </c>
      <c r="AB110" s="714">
        <v>13.21</v>
      </c>
      <c r="AC110" s="704">
        <v>11.2</v>
      </c>
      <c r="AD110" s="704">
        <v>9.76</v>
      </c>
      <c r="AE110" s="704">
        <v>6.6</v>
      </c>
      <c r="AF110" s="715">
        <v>2.4700000000000002</v>
      </c>
      <c r="AG110" s="704"/>
      <c r="AH110" s="715"/>
      <c r="AI110" s="715"/>
      <c r="AJ110" s="716"/>
      <c r="AK110" s="704"/>
      <c r="AL110" s="717">
        <f t="shared" ref="AL110:AL154" si="58" xml:space="preserve"> O110-P110</f>
        <v>0.80300000000000082</v>
      </c>
      <c r="AM110" s="718">
        <v>2.5099999999999998</v>
      </c>
      <c r="AN110" s="718">
        <v>2.4700000000000002</v>
      </c>
      <c r="AO110" s="718">
        <f t="shared" si="48"/>
        <v>2.7542900000000028</v>
      </c>
      <c r="AP110" s="718">
        <f t="shared" si="33"/>
        <v>7.7342900000000032</v>
      </c>
      <c r="AQ110" s="719">
        <v>4.5999999999999996</v>
      </c>
      <c r="AR110" s="719">
        <v>3.9999999999999996</v>
      </c>
      <c r="AS110" s="716">
        <v>28</v>
      </c>
      <c r="AT110" s="716">
        <v>0.6</v>
      </c>
      <c r="AU110" s="716">
        <v>28</v>
      </c>
      <c r="AV110" s="716">
        <f t="shared" si="39"/>
        <v>16.8</v>
      </c>
      <c r="AW110" s="716">
        <f t="shared" si="40"/>
        <v>111.99999999999999</v>
      </c>
      <c r="AX110" s="716">
        <f t="shared" ref="AX110:AX112" si="59">AQ110*AS110</f>
        <v>128.79999999999998</v>
      </c>
      <c r="AY110" s="716">
        <f t="shared" si="41"/>
        <v>0</v>
      </c>
      <c r="AZ110" s="716">
        <v>100</v>
      </c>
      <c r="BA110" s="716"/>
      <c r="BB110" s="775">
        <v>12000</v>
      </c>
      <c r="BC110" s="716"/>
      <c r="BD110" s="716">
        <v>10</v>
      </c>
      <c r="BE110" s="716">
        <v>80</v>
      </c>
      <c r="BF110" s="716"/>
      <c r="BG110" s="716"/>
      <c r="BH110" s="716"/>
      <c r="BI110" s="716"/>
      <c r="BJ110" s="744"/>
      <c r="BK110" s="744"/>
      <c r="BL110" s="744"/>
      <c r="BM110" s="745"/>
      <c r="BN110" s="722">
        <f t="shared" si="34"/>
        <v>326.53429</v>
      </c>
      <c r="BO110" s="708"/>
      <c r="BP110" s="708"/>
      <c r="BQ110" s="724"/>
      <c r="BR110" s="703">
        <f t="shared" si="38"/>
        <v>399.99999999999994</v>
      </c>
      <c r="BS110" s="703">
        <f t="shared" si="42"/>
        <v>262</v>
      </c>
    </row>
    <row r="111" spans="1:71" s="726" customFormat="1">
      <c r="A111" s="704" t="s">
        <v>93</v>
      </c>
      <c r="B111" s="705">
        <v>45</v>
      </c>
      <c r="C111" s="706"/>
      <c r="D111" s="707" t="s">
        <v>243</v>
      </c>
      <c r="E111" s="706" t="s">
        <v>244</v>
      </c>
      <c r="F111" s="708">
        <v>42705</v>
      </c>
      <c r="G111" s="706" t="s">
        <v>514</v>
      </c>
      <c r="H111" s="709">
        <v>70619</v>
      </c>
      <c r="I111" s="710" t="s">
        <v>323</v>
      </c>
      <c r="J111" s="771">
        <v>7827974</v>
      </c>
      <c r="K111" s="725" t="s">
        <v>515</v>
      </c>
      <c r="L111" s="706" t="s">
        <v>516</v>
      </c>
      <c r="M111" s="713">
        <v>28607</v>
      </c>
      <c r="N111" s="714"/>
      <c r="O111" s="714">
        <v>15.846</v>
      </c>
      <c r="P111" s="714">
        <v>14.468</v>
      </c>
      <c r="Q111" s="714">
        <v>6.77</v>
      </c>
      <c r="R111" s="714">
        <v>0.25</v>
      </c>
      <c r="S111" s="714">
        <v>106.265</v>
      </c>
      <c r="T111" s="714">
        <v>102.83799999999999</v>
      </c>
      <c r="U111" s="714">
        <v>61.616999999999997</v>
      </c>
      <c r="V111" s="714">
        <v>40.668999999999997</v>
      </c>
      <c r="W111" s="714">
        <v>13.359</v>
      </c>
      <c r="X111" s="714">
        <v>0.316</v>
      </c>
      <c r="Y111" s="714"/>
      <c r="Z111" s="714"/>
      <c r="AA111" s="714"/>
      <c r="AB111" s="714"/>
      <c r="AC111" s="704"/>
      <c r="AD111" s="704"/>
      <c r="AE111" s="704"/>
      <c r="AF111" s="715"/>
      <c r="AG111" s="704"/>
      <c r="AH111" s="715"/>
      <c r="AI111" s="715"/>
      <c r="AJ111" s="716"/>
      <c r="AK111" s="704"/>
      <c r="AL111" s="717">
        <f t="shared" si="58"/>
        <v>1.3780000000000001</v>
      </c>
      <c r="AM111" s="718">
        <v>2.5099999999999998</v>
      </c>
      <c r="AN111" s="718">
        <v>2.4700000000000002</v>
      </c>
      <c r="AO111" s="718">
        <f t="shared" si="48"/>
        <v>4.7265400000000009</v>
      </c>
      <c r="AP111" s="718">
        <f t="shared" si="33"/>
        <v>9.7065400000000004</v>
      </c>
      <c r="AQ111" s="719">
        <v>4.5999999999999996</v>
      </c>
      <c r="AR111" s="719">
        <v>3.9999999999999996</v>
      </c>
      <c r="AS111" s="716">
        <v>28</v>
      </c>
      <c r="AT111" s="716">
        <v>0.6</v>
      </c>
      <c r="AU111" s="716">
        <v>28</v>
      </c>
      <c r="AV111" s="716">
        <f t="shared" si="39"/>
        <v>16.8</v>
      </c>
      <c r="AW111" s="716">
        <f t="shared" si="40"/>
        <v>111.99999999999999</v>
      </c>
      <c r="AX111" s="716">
        <f t="shared" si="59"/>
        <v>128.79999999999998</v>
      </c>
      <c r="AY111" s="716">
        <f t="shared" si="41"/>
        <v>0</v>
      </c>
      <c r="AZ111" s="716">
        <f>100</f>
        <v>100</v>
      </c>
      <c r="BA111" s="716"/>
      <c r="BB111" s="720"/>
      <c r="BC111" s="716"/>
      <c r="BD111" s="716">
        <v>10</v>
      </c>
      <c r="BE111" s="716">
        <v>80</v>
      </c>
      <c r="BF111" s="716"/>
      <c r="BG111" s="716"/>
      <c r="BH111" s="716"/>
      <c r="BI111" s="716"/>
      <c r="BJ111" s="744">
        <v>15</v>
      </c>
      <c r="BK111" s="744"/>
      <c r="BL111" s="744"/>
      <c r="BM111" s="745"/>
      <c r="BN111" s="722">
        <f t="shared" si="34"/>
        <v>343.50653999999997</v>
      </c>
      <c r="BO111" s="708"/>
      <c r="BP111" s="708"/>
      <c r="BQ111" s="724"/>
      <c r="BR111" s="703">
        <f t="shared" si="38"/>
        <v>399.99999999999994</v>
      </c>
      <c r="BS111" s="703">
        <f t="shared" si="42"/>
        <v>263</v>
      </c>
    </row>
    <row r="112" spans="1:71" s="726" customFormat="1">
      <c r="A112" s="704" t="s">
        <v>93</v>
      </c>
      <c r="B112" s="705">
        <v>46</v>
      </c>
      <c r="C112" s="705"/>
      <c r="D112" s="707" t="s">
        <v>805</v>
      </c>
      <c r="E112" s="706" t="s">
        <v>806</v>
      </c>
      <c r="F112" s="708">
        <v>44896</v>
      </c>
      <c r="G112" s="706" t="s">
        <v>807</v>
      </c>
      <c r="H112" s="709">
        <v>70619</v>
      </c>
      <c r="I112" s="710" t="s">
        <v>323</v>
      </c>
      <c r="J112" s="771" t="s">
        <v>808</v>
      </c>
      <c r="K112" s="725" t="s">
        <v>809</v>
      </c>
      <c r="L112" s="706" t="s">
        <v>810</v>
      </c>
      <c r="M112" s="773">
        <v>32404</v>
      </c>
      <c r="N112" s="714"/>
      <c r="O112" s="714">
        <v>14.132</v>
      </c>
      <c r="P112" s="714">
        <v>10.46</v>
      </c>
      <c r="Q112" s="714">
        <v>0.40899999999999997</v>
      </c>
      <c r="R112" s="714">
        <v>0.25</v>
      </c>
      <c r="S112" s="714">
        <v>85.894999999999996</v>
      </c>
      <c r="T112" s="714">
        <v>73.215999999999994</v>
      </c>
      <c r="U112" s="714">
        <v>31.268000000000001</v>
      </c>
      <c r="V112" s="714">
        <v>18.748000000000001</v>
      </c>
      <c r="W112" s="714">
        <v>5.5259999999999998</v>
      </c>
      <c r="X112" s="714">
        <v>4.2380000000000004</v>
      </c>
      <c r="Y112" s="714">
        <v>2.7389999999999999</v>
      </c>
      <c r="Z112" s="714">
        <v>0.05</v>
      </c>
      <c r="AA112" s="714">
        <v>3.1720000000000002</v>
      </c>
      <c r="AB112" s="714">
        <v>2.92</v>
      </c>
      <c r="AC112" s="704">
        <v>2.13</v>
      </c>
      <c r="AD112" s="704">
        <v>2.11</v>
      </c>
      <c r="AE112" s="704">
        <v>0.96</v>
      </c>
      <c r="AF112" s="715">
        <v>0.81</v>
      </c>
      <c r="AG112" s="704"/>
      <c r="AH112" s="715"/>
      <c r="AI112" s="715"/>
      <c r="AJ112" s="716"/>
      <c r="AK112" s="704"/>
      <c r="AL112" s="717">
        <f t="shared" si="58"/>
        <v>3.6719999999999988</v>
      </c>
      <c r="AM112" s="718">
        <v>2.5099999999999998</v>
      </c>
      <c r="AN112" s="718">
        <v>2.4700000000000002</v>
      </c>
      <c r="AO112" s="718">
        <f t="shared" si="48"/>
        <v>12.594959999999997</v>
      </c>
      <c r="AP112" s="718">
        <f t="shared" si="33"/>
        <v>17.574959999999997</v>
      </c>
      <c r="AQ112" s="719">
        <v>4.5999999999999996</v>
      </c>
      <c r="AR112" s="719">
        <v>3.9999999999999996</v>
      </c>
      <c r="AS112" s="716">
        <v>28</v>
      </c>
      <c r="AT112" s="716">
        <v>0.6</v>
      </c>
      <c r="AU112" s="716">
        <v>28</v>
      </c>
      <c r="AV112" s="716">
        <f t="shared" si="39"/>
        <v>16.8</v>
      </c>
      <c r="AW112" s="716">
        <f t="shared" si="40"/>
        <v>111.99999999999999</v>
      </c>
      <c r="AX112" s="716">
        <f t="shared" si="59"/>
        <v>128.79999999999998</v>
      </c>
      <c r="AY112" s="716">
        <f t="shared" si="41"/>
        <v>0</v>
      </c>
      <c r="AZ112" s="716">
        <f>100</f>
        <v>100</v>
      </c>
      <c r="BA112" s="716">
        <v>32.5</v>
      </c>
      <c r="BB112" s="720">
        <v>10000</v>
      </c>
      <c r="BC112" s="716">
        <v>52</v>
      </c>
      <c r="BD112" s="716">
        <v>10</v>
      </c>
      <c r="BE112" s="716">
        <v>80</v>
      </c>
      <c r="BF112" s="716"/>
      <c r="BG112" s="716"/>
      <c r="BH112" s="716"/>
      <c r="BI112" s="716"/>
      <c r="BJ112" s="744"/>
      <c r="BK112" s="744"/>
      <c r="BL112" s="744"/>
      <c r="BM112" s="745"/>
      <c r="BN112" s="722">
        <f t="shared" si="34"/>
        <v>420.87495999999999</v>
      </c>
      <c r="BO112" s="708"/>
      <c r="BP112" s="708"/>
      <c r="BQ112" s="724"/>
      <c r="BR112" s="703">
        <f t="shared" si="38"/>
        <v>399.99999999999994</v>
      </c>
      <c r="BS112" s="703">
        <f t="shared" si="42"/>
        <v>264</v>
      </c>
    </row>
    <row r="113" spans="1:71" s="726" customFormat="1">
      <c r="A113" s="704" t="s">
        <v>93</v>
      </c>
      <c r="B113" s="705">
        <v>47</v>
      </c>
      <c r="C113" s="706"/>
      <c r="D113" s="707" t="s">
        <v>124</v>
      </c>
      <c r="E113" s="706" t="s">
        <v>125</v>
      </c>
      <c r="F113" s="708">
        <v>37604</v>
      </c>
      <c r="G113" s="706" t="s">
        <v>517</v>
      </c>
      <c r="H113" s="776">
        <v>70565</v>
      </c>
      <c r="I113" s="710" t="s">
        <v>323</v>
      </c>
      <c r="J113" s="711">
        <v>3581264</v>
      </c>
      <c r="K113" s="725"/>
      <c r="L113" s="706" t="s">
        <v>518</v>
      </c>
      <c r="M113" s="713">
        <v>17143</v>
      </c>
      <c r="N113" s="714" t="s">
        <v>519</v>
      </c>
      <c r="O113" s="714">
        <v>17.498999999999999</v>
      </c>
      <c r="P113" s="714">
        <v>14.515000000000001</v>
      </c>
      <c r="Q113" s="714">
        <v>6.6779999999999999</v>
      </c>
      <c r="R113" s="714">
        <v>0.25</v>
      </c>
      <c r="S113" s="714">
        <v>29.34</v>
      </c>
      <c r="T113" s="714">
        <v>25.885000000000002</v>
      </c>
      <c r="U113" s="714">
        <v>21.664000000000001</v>
      </c>
      <c r="V113" s="714">
        <v>19.616</v>
      </c>
      <c r="W113" s="714">
        <v>13.833</v>
      </c>
      <c r="X113" s="714">
        <v>9.9459999999999997</v>
      </c>
      <c r="Y113" s="714">
        <v>6.476</v>
      </c>
      <c r="Z113" s="714">
        <v>0.05</v>
      </c>
      <c r="AA113" s="714">
        <v>70.867000000000004</v>
      </c>
      <c r="AB113" s="714">
        <v>66.67</v>
      </c>
      <c r="AC113" s="704">
        <v>61.78</v>
      </c>
      <c r="AD113" s="704">
        <v>52.86</v>
      </c>
      <c r="AE113" s="704">
        <v>39.79</v>
      </c>
      <c r="AF113" s="715">
        <v>31.03</v>
      </c>
      <c r="AG113" s="704"/>
      <c r="AH113" s="715"/>
      <c r="AI113" s="715"/>
      <c r="AJ113" s="716"/>
      <c r="AK113" s="704"/>
      <c r="AL113" s="717">
        <f t="shared" si="58"/>
        <v>2.9839999999999982</v>
      </c>
      <c r="AM113" s="718">
        <v>2.5099999999999998</v>
      </c>
      <c r="AN113" s="718">
        <v>2.4700000000000002</v>
      </c>
      <c r="AO113" s="718">
        <f t="shared" si="48"/>
        <v>10.235119999999995</v>
      </c>
      <c r="AP113" s="718">
        <f t="shared" si="33"/>
        <v>15.215119999999995</v>
      </c>
      <c r="AQ113" s="719">
        <v>5.6</v>
      </c>
      <c r="AR113" s="719">
        <v>5</v>
      </c>
      <c r="AS113" s="716">
        <v>28</v>
      </c>
      <c r="AT113" s="716">
        <v>0.6</v>
      </c>
      <c r="AU113" s="716">
        <v>28</v>
      </c>
      <c r="AV113" s="716">
        <f t="shared" si="39"/>
        <v>16.8</v>
      </c>
      <c r="AW113" s="716">
        <f t="shared" si="40"/>
        <v>140</v>
      </c>
      <c r="AX113" s="716">
        <f t="shared" ref="AX113:AX118" si="60">AQ113*AS113</f>
        <v>156.79999999999998</v>
      </c>
      <c r="AY113" s="716">
        <f t="shared" si="41"/>
        <v>0</v>
      </c>
      <c r="AZ113" s="716">
        <f>100</f>
        <v>100</v>
      </c>
      <c r="BA113" s="716"/>
      <c r="BB113" s="720"/>
      <c r="BC113" s="716"/>
      <c r="BD113" s="716">
        <v>10</v>
      </c>
      <c r="BE113" s="716">
        <v>80</v>
      </c>
      <c r="BF113" s="716"/>
      <c r="BG113" s="716"/>
      <c r="BH113" s="716"/>
      <c r="BI113" s="716"/>
      <c r="BJ113" s="745"/>
      <c r="BK113" s="745"/>
      <c r="BL113" s="745"/>
      <c r="BM113" s="777">
        <v>60</v>
      </c>
      <c r="BN113" s="722">
        <f t="shared" si="34"/>
        <v>422.01512000000002</v>
      </c>
      <c r="BO113" s="708"/>
      <c r="BP113" s="708"/>
      <c r="BQ113" s="724"/>
      <c r="BR113" s="703">
        <f t="shared" si="38"/>
        <v>500</v>
      </c>
      <c r="BS113" s="703">
        <f t="shared" si="42"/>
        <v>265</v>
      </c>
    </row>
    <row r="114" spans="1:71" s="726" customFormat="1">
      <c r="A114" s="704" t="s">
        <v>93</v>
      </c>
      <c r="B114" s="705">
        <v>48</v>
      </c>
      <c r="C114" s="706"/>
      <c r="D114" s="707" t="s">
        <v>811</v>
      </c>
      <c r="E114" s="706" t="s">
        <v>759</v>
      </c>
      <c r="F114" s="708">
        <v>44197</v>
      </c>
      <c r="G114" s="706" t="s">
        <v>1017</v>
      </c>
      <c r="H114" s="709">
        <v>70619</v>
      </c>
      <c r="I114" s="710" t="s">
        <v>323</v>
      </c>
      <c r="J114" s="733"/>
      <c r="K114" s="725" t="s">
        <v>812</v>
      </c>
      <c r="L114" s="706" t="s">
        <v>813</v>
      </c>
      <c r="M114" s="713"/>
      <c r="N114" s="714" t="s">
        <v>814</v>
      </c>
      <c r="O114" s="714">
        <v>1.272</v>
      </c>
      <c r="P114" s="714">
        <v>1.145</v>
      </c>
      <c r="Q114" s="714">
        <v>0.42199999999999999</v>
      </c>
      <c r="R114" s="714">
        <v>0.25</v>
      </c>
      <c r="S114" s="714">
        <v>16.347999999999999</v>
      </c>
      <c r="T114" s="714">
        <v>16.030999999999999</v>
      </c>
      <c r="U114" s="714">
        <v>7.1779999999999999</v>
      </c>
      <c r="V114" s="714">
        <v>7.0490000000000004</v>
      </c>
      <c r="W114" s="714">
        <v>5.7930000000000001</v>
      </c>
      <c r="X114" s="714">
        <v>4.2729999999999997</v>
      </c>
      <c r="Y114" s="714">
        <v>2.419</v>
      </c>
      <c r="Z114" s="714">
        <v>0.05</v>
      </c>
      <c r="AA114" s="714">
        <v>37.031999999999996</v>
      </c>
      <c r="AB114" s="714">
        <v>36.49</v>
      </c>
      <c r="AC114" s="704">
        <v>36.159999999999997</v>
      </c>
      <c r="AD114" s="704">
        <v>35.21</v>
      </c>
      <c r="AE114" s="704">
        <v>32.229999999999997</v>
      </c>
      <c r="AF114" s="715">
        <v>28.19</v>
      </c>
      <c r="AG114" s="704"/>
      <c r="AH114" s="715"/>
      <c r="AI114" s="715"/>
      <c r="AJ114" s="716"/>
      <c r="AK114" s="704"/>
      <c r="AL114" s="717">
        <f t="shared" si="58"/>
        <v>0.127</v>
      </c>
      <c r="AM114" s="718">
        <v>2.5099999999999998</v>
      </c>
      <c r="AN114" s="718">
        <v>2.4700000000000002</v>
      </c>
      <c r="AO114" s="718">
        <f t="shared" si="48"/>
        <v>0.43561000000000005</v>
      </c>
      <c r="AP114" s="718">
        <f t="shared" ref="AP114:AP154" si="61">AM114+AN114+AO114</f>
        <v>5.4156100000000009</v>
      </c>
      <c r="AQ114" s="719">
        <v>4.5999999999999996</v>
      </c>
      <c r="AR114" s="719">
        <v>3.9999999999999996</v>
      </c>
      <c r="AS114" s="716">
        <v>28</v>
      </c>
      <c r="AT114" s="716">
        <v>0.6</v>
      </c>
      <c r="AU114" s="716">
        <v>28</v>
      </c>
      <c r="AV114" s="716">
        <f t="shared" si="39"/>
        <v>16.8</v>
      </c>
      <c r="AW114" s="716">
        <f t="shared" si="40"/>
        <v>111.99999999999999</v>
      </c>
      <c r="AX114" s="716">
        <f t="shared" si="60"/>
        <v>128.79999999999998</v>
      </c>
      <c r="AY114" s="716">
        <f t="shared" si="41"/>
        <v>0</v>
      </c>
      <c r="AZ114" s="716">
        <f>100</f>
        <v>100</v>
      </c>
      <c r="BA114" s="716"/>
      <c r="BB114" s="720">
        <v>5000</v>
      </c>
      <c r="BC114" s="716">
        <v>25</v>
      </c>
      <c r="BD114" s="716">
        <v>10</v>
      </c>
      <c r="BE114" s="716">
        <v>80</v>
      </c>
      <c r="BF114" s="716"/>
      <c r="BG114" s="716"/>
      <c r="BH114" s="716"/>
      <c r="BI114" s="716"/>
      <c r="BJ114" s="745"/>
      <c r="BK114" s="745"/>
      <c r="BL114" s="745"/>
      <c r="BM114" s="745">
        <v>60</v>
      </c>
      <c r="BN114" s="722">
        <f t="shared" ref="BN114:BN154" si="62">AP114+AW114+AV114+AZ114+BA114+BC114+BD114+BE114+BF114+BG114+BH114+BI114+BJ114+BM114+BL114</f>
        <v>409.21560999999997</v>
      </c>
      <c r="BO114" s="708"/>
      <c r="BP114" s="708"/>
      <c r="BQ114" s="724"/>
      <c r="BR114" s="703">
        <f t="shared" si="38"/>
        <v>399.99999999999994</v>
      </c>
      <c r="BS114" s="703">
        <f t="shared" si="42"/>
        <v>266</v>
      </c>
    </row>
    <row r="115" spans="1:71" s="726" customFormat="1">
      <c r="A115" s="704" t="s">
        <v>93</v>
      </c>
      <c r="B115" s="705">
        <v>49</v>
      </c>
      <c r="C115" s="706"/>
      <c r="D115" s="707" t="s">
        <v>94</v>
      </c>
      <c r="E115" s="706" t="s">
        <v>126</v>
      </c>
      <c r="F115" s="708">
        <v>40283</v>
      </c>
      <c r="G115" s="706" t="s">
        <v>520</v>
      </c>
      <c r="H115" s="709">
        <v>70193</v>
      </c>
      <c r="I115" s="710" t="s">
        <v>323</v>
      </c>
      <c r="J115" s="711"/>
      <c r="K115" s="725" t="s">
        <v>521</v>
      </c>
      <c r="L115" s="706" t="s">
        <v>522</v>
      </c>
      <c r="M115" s="713">
        <v>22250</v>
      </c>
      <c r="N115" s="714"/>
      <c r="O115" s="714">
        <v>29.099</v>
      </c>
      <c r="P115" s="714">
        <v>23.646000000000001</v>
      </c>
      <c r="Q115" s="714">
        <v>11.942</v>
      </c>
      <c r="R115" s="714">
        <v>0.25</v>
      </c>
      <c r="S115" s="714">
        <v>52.878</v>
      </c>
      <c r="T115" s="714">
        <v>49.481999999999999</v>
      </c>
      <c r="U115" s="714">
        <v>39.253</v>
      </c>
      <c r="V115" s="714">
        <v>32.911999999999999</v>
      </c>
      <c r="W115" s="714">
        <v>24.462</v>
      </c>
      <c r="X115" s="714">
        <v>18.085000000000001</v>
      </c>
      <c r="Y115" s="714">
        <v>10.352</v>
      </c>
      <c r="Z115" s="714">
        <v>0.05</v>
      </c>
      <c r="AA115" s="714">
        <v>34.299999999999997</v>
      </c>
      <c r="AB115" s="714">
        <v>26.8</v>
      </c>
      <c r="AC115" s="704">
        <v>22.8</v>
      </c>
      <c r="AD115" s="704">
        <v>14.34</v>
      </c>
      <c r="AE115" s="704">
        <v>6.12</v>
      </c>
      <c r="AF115" s="715">
        <v>1.38</v>
      </c>
      <c r="AG115" s="704"/>
      <c r="AH115" s="715"/>
      <c r="AI115" s="715"/>
      <c r="AJ115" s="716"/>
      <c r="AK115" s="704"/>
      <c r="AL115" s="717">
        <f t="shared" si="58"/>
        <v>5.4529999999999994</v>
      </c>
      <c r="AM115" s="718">
        <v>2.5099999999999998</v>
      </c>
      <c r="AN115" s="718">
        <v>2.4700000000000002</v>
      </c>
      <c r="AO115" s="718">
        <f t="shared" si="48"/>
        <v>18.703789999999998</v>
      </c>
      <c r="AP115" s="718">
        <f t="shared" si="61"/>
        <v>23.683789999999998</v>
      </c>
      <c r="AQ115" s="719">
        <v>4.5999999999999996</v>
      </c>
      <c r="AR115" s="719">
        <v>3.9999999999999996</v>
      </c>
      <c r="AS115" s="716">
        <v>28</v>
      </c>
      <c r="AT115" s="716">
        <v>0.6</v>
      </c>
      <c r="AU115" s="716">
        <v>28</v>
      </c>
      <c r="AV115" s="716">
        <f t="shared" si="39"/>
        <v>16.8</v>
      </c>
      <c r="AW115" s="716">
        <f t="shared" si="40"/>
        <v>111.99999999999999</v>
      </c>
      <c r="AX115" s="716">
        <f t="shared" si="60"/>
        <v>128.79999999999998</v>
      </c>
      <c r="AY115" s="716">
        <f t="shared" si="41"/>
        <v>0</v>
      </c>
      <c r="AZ115" s="716">
        <v>100</v>
      </c>
      <c r="BA115" s="716"/>
      <c r="BB115" s="720">
        <v>8500</v>
      </c>
      <c r="BC115" s="716">
        <v>40</v>
      </c>
      <c r="BD115" s="716">
        <v>10</v>
      </c>
      <c r="BE115" s="716">
        <v>80</v>
      </c>
      <c r="BF115" s="716"/>
      <c r="BG115" s="716"/>
      <c r="BH115" s="716"/>
      <c r="BI115" s="716"/>
      <c r="BJ115" s="744"/>
      <c r="BK115" s="744"/>
      <c r="BL115" s="744"/>
      <c r="BM115" s="745"/>
      <c r="BN115" s="722">
        <f t="shared" si="62"/>
        <v>382.48379</v>
      </c>
      <c r="BO115" s="708"/>
      <c r="BP115" s="708"/>
      <c r="BQ115" s="724"/>
      <c r="BR115" s="703">
        <f t="shared" si="38"/>
        <v>399.99999999999994</v>
      </c>
      <c r="BS115" s="703">
        <f t="shared" si="42"/>
        <v>267</v>
      </c>
    </row>
    <row r="116" spans="1:71" s="726" customFormat="1">
      <c r="A116" s="704" t="s">
        <v>93</v>
      </c>
      <c r="B116" s="705">
        <v>50</v>
      </c>
      <c r="C116" s="706"/>
      <c r="D116" s="707" t="s">
        <v>228</v>
      </c>
      <c r="E116" s="706" t="s">
        <v>229</v>
      </c>
      <c r="F116" s="708">
        <v>42339</v>
      </c>
      <c r="G116" s="706" t="s">
        <v>523</v>
      </c>
      <c r="H116" s="709">
        <v>70619</v>
      </c>
      <c r="I116" s="710" t="s">
        <v>323</v>
      </c>
      <c r="J116" s="711"/>
      <c r="K116" s="725" t="s">
        <v>524</v>
      </c>
      <c r="L116" s="706" t="s">
        <v>525</v>
      </c>
      <c r="M116" s="713">
        <v>27875</v>
      </c>
      <c r="N116" s="714"/>
      <c r="O116" s="714">
        <v>10.081</v>
      </c>
      <c r="P116" s="714">
        <v>8.5120000000000005</v>
      </c>
      <c r="Q116" s="714">
        <v>2.956</v>
      </c>
      <c r="R116" s="714">
        <v>0.25</v>
      </c>
      <c r="S116" s="714">
        <v>51.664999999999999</v>
      </c>
      <c r="T116" s="714">
        <v>48.923000000000002</v>
      </c>
      <c r="U116" s="714">
        <v>32.631999999999998</v>
      </c>
      <c r="V116" s="714">
        <v>23.417000000000002</v>
      </c>
      <c r="W116" s="714">
        <v>13.089</v>
      </c>
      <c r="X116" s="714">
        <v>3.08</v>
      </c>
      <c r="Y116" s="714">
        <v>0.23</v>
      </c>
      <c r="Z116" s="714">
        <v>0</v>
      </c>
      <c r="AA116" s="714">
        <v>2.2080000000000002</v>
      </c>
      <c r="AB116" s="714">
        <v>1.99</v>
      </c>
      <c r="AC116" s="704">
        <v>1.55</v>
      </c>
      <c r="AD116" s="704">
        <v>1.17</v>
      </c>
      <c r="AE116" s="704">
        <v>0.93</v>
      </c>
      <c r="AF116" s="715">
        <v>0.66</v>
      </c>
      <c r="AG116" s="704"/>
      <c r="AH116" s="715"/>
      <c r="AI116" s="715"/>
      <c r="AJ116" s="716"/>
      <c r="AK116" s="704"/>
      <c r="AL116" s="717">
        <f t="shared" si="58"/>
        <v>1.5689999999999991</v>
      </c>
      <c r="AM116" s="718">
        <v>2.5099999999999998</v>
      </c>
      <c r="AN116" s="718">
        <v>2.4700000000000002</v>
      </c>
      <c r="AO116" s="718">
        <f t="shared" si="48"/>
        <v>5.3816699999999971</v>
      </c>
      <c r="AP116" s="718">
        <f t="shared" si="61"/>
        <v>10.361669999999997</v>
      </c>
      <c r="AQ116" s="719">
        <v>4.5999999999999996</v>
      </c>
      <c r="AR116" s="719">
        <v>3.9999999999999996</v>
      </c>
      <c r="AS116" s="716">
        <v>28</v>
      </c>
      <c r="AT116" s="716">
        <v>0.6</v>
      </c>
      <c r="AU116" s="716">
        <v>28</v>
      </c>
      <c r="AV116" s="716">
        <f t="shared" si="39"/>
        <v>16.8</v>
      </c>
      <c r="AW116" s="716">
        <f t="shared" si="40"/>
        <v>111.99999999999999</v>
      </c>
      <c r="AX116" s="716">
        <f t="shared" si="60"/>
        <v>128.79999999999998</v>
      </c>
      <c r="AY116" s="716">
        <f t="shared" si="41"/>
        <v>0</v>
      </c>
      <c r="AZ116" s="716">
        <v>100</v>
      </c>
      <c r="BA116" s="716">
        <v>32.5</v>
      </c>
      <c r="BB116" s="720">
        <v>8000</v>
      </c>
      <c r="BC116" s="716">
        <v>37.5</v>
      </c>
      <c r="BD116" s="716">
        <v>10</v>
      </c>
      <c r="BE116" s="716">
        <v>80</v>
      </c>
      <c r="BF116" s="716"/>
      <c r="BG116" s="716"/>
      <c r="BH116" s="716"/>
      <c r="BI116" s="716"/>
      <c r="BJ116" s="744"/>
      <c r="BK116" s="744"/>
      <c r="BL116" s="744"/>
      <c r="BM116" s="745"/>
      <c r="BN116" s="722">
        <f t="shared" si="62"/>
        <v>399.16166999999996</v>
      </c>
      <c r="BO116" s="708"/>
      <c r="BP116" s="708"/>
      <c r="BQ116" s="724"/>
      <c r="BR116" s="703">
        <f t="shared" si="38"/>
        <v>399.99999999999994</v>
      </c>
      <c r="BS116" s="703">
        <f t="shared" si="42"/>
        <v>268</v>
      </c>
    </row>
    <row r="117" spans="1:71" s="726" customFormat="1">
      <c r="A117" s="704" t="s">
        <v>93</v>
      </c>
      <c r="B117" s="705">
        <v>51</v>
      </c>
      <c r="C117" s="706"/>
      <c r="D117" s="707" t="s">
        <v>127</v>
      </c>
      <c r="E117" s="706" t="s">
        <v>128</v>
      </c>
      <c r="F117" s="708">
        <v>39203</v>
      </c>
      <c r="G117" s="706" t="s">
        <v>526</v>
      </c>
      <c r="H117" s="709">
        <v>70619</v>
      </c>
      <c r="I117" s="710" t="s">
        <v>323</v>
      </c>
      <c r="J117" s="711" t="s">
        <v>527</v>
      </c>
      <c r="K117" s="725"/>
      <c r="L117" s="706" t="s">
        <v>528</v>
      </c>
      <c r="M117" s="713"/>
      <c r="N117" s="714"/>
      <c r="O117" s="714">
        <v>18.331</v>
      </c>
      <c r="P117" s="714">
        <v>15.759</v>
      </c>
      <c r="Q117" s="714">
        <v>7.7009999999999996</v>
      </c>
      <c r="R117" s="714">
        <v>0.25</v>
      </c>
      <c r="S117" s="714">
        <v>50.603999999999999</v>
      </c>
      <c r="T117" s="714">
        <v>48.704999999999998</v>
      </c>
      <c r="U117" s="714">
        <v>17.225000000000001</v>
      </c>
      <c r="V117" s="714">
        <v>13.619</v>
      </c>
      <c r="W117" s="714">
        <v>4.4580000000000002</v>
      </c>
      <c r="X117" s="714">
        <v>4.0019999999999998</v>
      </c>
      <c r="Y117" s="714">
        <v>3.1869999999999998</v>
      </c>
      <c r="Z117" s="714">
        <v>0.05</v>
      </c>
      <c r="AA117" s="714">
        <v>7.1479999999999997</v>
      </c>
      <c r="AB117" s="714">
        <v>6.36</v>
      </c>
      <c r="AC117" s="704">
        <v>5.53</v>
      </c>
      <c r="AD117" s="704">
        <v>5.22</v>
      </c>
      <c r="AE117" s="704">
        <v>3.62</v>
      </c>
      <c r="AF117" s="715">
        <v>2.3199999999999998</v>
      </c>
      <c r="AG117" s="704"/>
      <c r="AH117" s="715"/>
      <c r="AI117" s="715"/>
      <c r="AJ117" s="716"/>
      <c r="AK117" s="704"/>
      <c r="AL117" s="717">
        <f t="shared" si="58"/>
        <v>2.5719999999999992</v>
      </c>
      <c r="AM117" s="718">
        <v>2.5099999999999998</v>
      </c>
      <c r="AN117" s="718">
        <v>2.4700000000000002</v>
      </c>
      <c r="AO117" s="718">
        <f t="shared" si="48"/>
        <v>8.8219599999999971</v>
      </c>
      <c r="AP117" s="718">
        <f t="shared" si="61"/>
        <v>13.801959999999998</v>
      </c>
      <c r="AQ117" s="719">
        <v>4.5999999999999996</v>
      </c>
      <c r="AR117" s="719">
        <v>3.9999999999999996</v>
      </c>
      <c r="AS117" s="716">
        <v>28</v>
      </c>
      <c r="AT117" s="716">
        <v>0.6</v>
      </c>
      <c r="AU117" s="716">
        <v>28</v>
      </c>
      <c r="AV117" s="716">
        <f t="shared" si="39"/>
        <v>16.8</v>
      </c>
      <c r="AW117" s="716">
        <f t="shared" si="40"/>
        <v>111.99999999999999</v>
      </c>
      <c r="AX117" s="716">
        <f t="shared" si="60"/>
        <v>128.79999999999998</v>
      </c>
      <c r="AY117" s="716">
        <f t="shared" si="41"/>
        <v>0</v>
      </c>
      <c r="AZ117" s="716">
        <v>100</v>
      </c>
      <c r="BA117" s="716"/>
      <c r="BB117" s="720">
        <v>5000</v>
      </c>
      <c r="BC117" s="716">
        <v>25</v>
      </c>
      <c r="BD117" s="716">
        <v>10</v>
      </c>
      <c r="BE117" s="716">
        <v>80</v>
      </c>
      <c r="BF117" s="716"/>
      <c r="BG117" s="716"/>
      <c r="BH117" s="716"/>
      <c r="BI117" s="716"/>
      <c r="BJ117" s="744"/>
      <c r="BK117" s="744"/>
      <c r="BL117" s="744"/>
      <c r="BM117" s="745"/>
      <c r="BN117" s="722">
        <f t="shared" si="62"/>
        <v>357.60195999999996</v>
      </c>
      <c r="BO117" s="708"/>
      <c r="BP117" s="708"/>
      <c r="BQ117" s="724"/>
      <c r="BR117" s="703">
        <f t="shared" si="38"/>
        <v>399.99999999999994</v>
      </c>
      <c r="BS117" s="703">
        <f t="shared" si="42"/>
        <v>269</v>
      </c>
    </row>
    <row r="118" spans="1:71" s="726" customFormat="1">
      <c r="A118" s="704" t="s">
        <v>93</v>
      </c>
      <c r="B118" s="705">
        <v>52</v>
      </c>
      <c r="C118" s="706"/>
      <c r="D118" s="707" t="s">
        <v>129</v>
      </c>
      <c r="E118" s="706" t="s">
        <v>130</v>
      </c>
      <c r="F118" s="708">
        <v>37607</v>
      </c>
      <c r="G118" s="706" t="s">
        <v>529</v>
      </c>
      <c r="H118" s="709">
        <v>70197</v>
      </c>
      <c r="I118" s="710" t="s">
        <v>323</v>
      </c>
      <c r="J118" s="711" t="s">
        <v>530</v>
      </c>
      <c r="K118" s="725"/>
      <c r="L118" s="706" t="s">
        <v>531</v>
      </c>
      <c r="M118" s="713">
        <v>17553</v>
      </c>
      <c r="N118" s="714"/>
      <c r="O118" s="714">
        <v>11.874000000000001</v>
      </c>
      <c r="P118" s="714">
        <v>10.837</v>
      </c>
      <c r="Q118" s="714">
        <v>3.1440000000000001</v>
      </c>
      <c r="R118" s="714">
        <v>0.25</v>
      </c>
      <c r="S118" s="714">
        <v>15.06</v>
      </c>
      <c r="T118" s="714">
        <v>12.977</v>
      </c>
      <c r="U118" s="714">
        <v>8.282</v>
      </c>
      <c r="V118" s="714">
        <v>7.1210000000000004</v>
      </c>
      <c r="W118" s="714">
        <v>4.46</v>
      </c>
      <c r="X118" s="714">
        <v>2.0089999999999999</v>
      </c>
      <c r="Y118" s="714">
        <v>1.1879999999999999</v>
      </c>
      <c r="Z118" s="714">
        <v>0.05</v>
      </c>
      <c r="AA118" s="714">
        <v>9.7420000000000009</v>
      </c>
      <c r="AB118" s="714">
        <v>8.67</v>
      </c>
      <c r="AC118" s="704">
        <v>8.39</v>
      </c>
      <c r="AD118" s="704">
        <v>6.74</v>
      </c>
      <c r="AE118" s="704">
        <v>4.83</v>
      </c>
      <c r="AF118" s="715">
        <v>2.36</v>
      </c>
      <c r="AG118" s="704"/>
      <c r="AH118" s="715"/>
      <c r="AI118" s="715"/>
      <c r="AJ118" s="716"/>
      <c r="AK118" s="704"/>
      <c r="AL118" s="717">
        <f t="shared" si="58"/>
        <v>1.0370000000000008</v>
      </c>
      <c r="AM118" s="718">
        <v>2.5099999999999998</v>
      </c>
      <c r="AN118" s="718">
        <v>2.4700000000000002</v>
      </c>
      <c r="AO118" s="718">
        <f t="shared" si="48"/>
        <v>3.5569100000000029</v>
      </c>
      <c r="AP118" s="718">
        <f t="shared" si="61"/>
        <v>8.5369100000000024</v>
      </c>
      <c r="AQ118" s="719">
        <v>4.5999999999999996</v>
      </c>
      <c r="AR118" s="719">
        <v>3.9999999999999996</v>
      </c>
      <c r="AS118" s="716">
        <v>28</v>
      </c>
      <c r="AT118" s="716">
        <v>0.6</v>
      </c>
      <c r="AU118" s="716">
        <v>28</v>
      </c>
      <c r="AV118" s="716">
        <f t="shared" si="39"/>
        <v>16.8</v>
      </c>
      <c r="AW118" s="716">
        <f t="shared" si="40"/>
        <v>111.99999999999999</v>
      </c>
      <c r="AX118" s="716">
        <f t="shared" si="60"/>
        <v>128.79999999999998</v>
      </c>
      <c r="AY118" s="716">
        <f t="shared" si="41"/>
        <v>0</v>
      </c>
      <c r="AZ118" s="716">
        <v>100</v>
      </c>
      <c r="BA118" s="716">
        <v>32.5</v>
      </c>
      <c r="BB118" s="720"/>
      <c r="BC118" s="716"/>
      <c r="BD118" s="716">
        <v>10</v>
      </c>
      <c r="BE118" s="716">
        <v>80</v>
      </c>
      <c r="BF118" s="716"/>
      <c r="BG118" s="716"/>
      <c r="BH118" s="716"/>
      <c r="BI118" s="716"/>
      <c r="BJ118" s="744"/>
      <c r="BK118" s="744"/>
      <c r="BL118" s="744"/>
      <c r="BM118" s="745"/>
      <c r="BN118" s="722">
        <f t="shared" si="62"/>
        <v>359.83690999999999</v>
      </c>
      <c r="BO118" s="708"/>
      <c r="BP118" s="708"/>
      <c r="BQ118" s="724"/>
      <c r="BR118" s="703">
        <f t="shared" si="38"/>
        <v>399.99999999999994</v>
      </c>
      <c r="BS118" s="703">
        <f t="shared" si="42"/>
        <v>270</v>
      </c>
    </row>
    <row r="119" spans="1:71" s="726" customFormat="1">
      <c r="A119" s="704" t="s">
        <v>93</v>
      </c>
      <c r="B119" s="705">
        <v>53</v>
      </c>
      <c r="C119" s="706"/>
      <c r="D119" s="707" t="s">
        <v>815</v>
      </c>
      <c r="E119" s="706" t="s">
        <v>816</v>
      </c>
      <c r="F119" s="708">
        <v>44896</v>
      </c>
      <c r="G119" s="706" t="s">
        <v>817</v>
      </c>
      <c r="H119" s="709">
        <v>70619</v>
      </c>
      <c r="I119" s="710" t="s">
        <v>323</v>
      </c>
      <c r="J119" s="711"/>
      <c r="K119" s="725" t="s">
        <v>818</v>
      </c>
      <c r="L119" s="706" t="s">
        <v>819</v>
      </c>
      <c r="M119" s="713">
        <v>28941</v>
      </c>
      <c r="N119" s="714" t="s">
        <v>820</v>
      </c>
      <c r="O119" s="714">
        <v>11.707000000000001</v>
      </c>
      <c r="P119" s="714">
        <v>9.8569999999999993</v>
      </c>
      <c r="Q119" s="714">
        <v>0.27600000000000002</v>
      </c>
      <c r="R119" s="714">
        <v>0.27600000000000002</v>
      </c>
      <c r="S119" s="714">
        <v>13.007999999999999</v>
      </c>
      <c r="T119" s="714">
        <v>12.317</v>
      </c>
      <c r="U119" s="714">
        <v>9.5890000000000004</v>
      </c>
      <c r="V119" s="714">
        <v>9.2270000000000003</v>
      </c>
      <c r="W119" s="714">
        <v>6.2359999999999998</v>
      </c>
      <c r="X119" s="714">
        <v>5.37</v>
      </c>
      <c r="Y119" s="714">
        <v>2.8119999999999998</v>
      </c>
      <c r="Z119" s="714">
        <v>0.05</v>
      </c>
      <c r="AA119" s="714">
        <v>12.601000000000001</v>
      </c>
      <c r="AB119" s="714">
        <v>10.95</v>
      </c>
      <c r="AC119" s="704">
        <v>9.49</v>
      </c>
      <c r="AD119" s="704">
        <v>6.14</v>
      </c>
      <c r="AE119" s="704">
        <v>4.08</v>
      </c>
      <c r="AF119" s="715">
        <v>2.54</v>
      </c>
      <c r="AG119" s="704"/>
      <c r="AH119" s="715"/>
      <c r="AI119" s="715"/>
      <c r="AJ119" s="716"/>
      <c r="AK119" s="704"/>
      <c r="AL119" s="717">
        <f t="shared" si="58"/>
        <v>1.8500000000000014</v>
      </c>
      <c r="AM119" s="718">
        <v>2.5099999999999998</v>
      </c>
      <c r="AN119" s="718">
        <v>2.4700000000000002</v>
      </c>
      <c r="AO119" s="718">
        <f t="shared" si="48"/>
        <v>6.3455000000000048</v>
      </c>
      <c r="AP119" s="718">
        <f t="shared" si="61"/>
        <v>11.325500000000005</v>
      </c>
      <c r="AQ119" s="719">
        <v>4.5999999999999996</v>
      </c>
      <c r="AR119" s="719">
        <v>3.9999999999999996</v>
      </c>
      <c r="AS119" s="716">
        <v>28</v>
      </c>
      <c r="AT119" s="716">
        <v>0.6</v>
      </c>
      <c r="AU119" s="716">
        <v>28</v>
      </c>
      <c r="AV119" s="716">
        <f t="shared" si="39"/>
        <v>16.8</v>
      </c>
      <c r="AW119" s="716">
        <f t="shared" si="40"/>
        <v>111.99999999999999</v>
      </c>
      <c r="AX119" s="716">
        <f t="shared" ref="AX119" si="63">AQ119*AS119</f>
        <v>128.79999999999998</v>
      </c>
      <c r="AY119" s="716">
        <f t="shared" si="41"/>
        <v>0</v>
      </c>
      <c r="AZ119" s="716">
        <v>100</v>
      </c>
      <c r="BA119" s="716">
        <v>32.5</v>
      </c>
      <c r="BB119" s="720">
        <v>10000</v>
      </c>
      <c r="BC119" s="716">
        <v>52</v>
      </c>
      <c r="BD119" s="716">
        <v>10</v>
      </c>
      <c r="BE119" s="716">
        <v>80</v>
      </c>
      <c r="BF119" s="716"/>
      <c r="BG119" s="716"/>
      <c r="BH119" s="716"/>
      <c r="BI119" s="716"/>
      <c r="BJ119" s="744"/>
      <c r="BK119" s="744"/>
      <c r="BL119" s="744"/>
      <c r="BM119" s="745"/>
      <c r="BN119" s="722">
        <f t="shared" si="62"/>
        <v>414.62549999999999</v>
      </c>
      <c r="BO119" s="708"/>
      <c r="BP119" s="708"/>
      <c r="BQ119" s="724"/>
      <c r="BR119" s="703">
        <f t="shared" si="38"/>
        <v>399.99999999999994</v>
      </c>
      <c r="BS119" s="703">
        <f t="shared" si="42"/>
        <v>271</v>
      </c>
    </row>
    <row r="120" spans="1:71" s="726" customFormat="1">
      <c r="A120" s="704" t="s">
        <v>93</v>
      </c>
      <c r="B120" s="705">
        <v>54</v>
      </c>
      <c r="C120" s="706"/>
      <c r="D120" s="707" t="s">
        <v>131</v>
      </c>
      <c r="E120" s="706" t="s">
        <v>61</v>
      </c>
      <c r="F120" s="708">
        <v>34973</v>
      </c>
      <c r="G120" s="706" t="s">
        <v>532</v>
      </c>
      <c r="H120" s="709">
        <v>70619</v>
      </c>
      <c r="I120" s="710" t="s">
        <v>323</v>
      </c>
      <c r="J120" s="711" t="s">
        <v>533</v>
      </c>
      <c r="K120" s="725"/>
      <c r="L120" s="706" t="s">
        <v>534</v>
      </c>
      <c r="M120" s="713">
        <v>22618</v>
      </c>
      <c r="N120" s="714"/>
      <c r="O120" s="714">
        <v>21.42</v>
      </c>
      <c r="P120" s="714">
        <v>17.34</v>
      </c>
      <c r="Q120" s="714">
        <v>10.951000000000001</v>
      </c>
      <c r="R120" s="714">
        <v>0.25</v>
      </c>
      <c r="S120" s="714">
        <v>60.058999999999997</v>
      </c>
      <c r="T120" s="714">
        <v>57.712000000000003</v>
      </c>
      <c r="U120" s="714">
        <v>46.808999999999997</v>
      </c>
      <c r="V120" s="714">
        <v>42.134</v>
      </c>
      <c r="W120" s="714">
        <v>22.411999999999999</v>
      </c>
      <c r="X120" s="714">
        <v>17.204000000000001</v>
      </c>
      <c r="Y120" s="714">
        <v>10.271000000000001</v>
      </c>
      <c r="Z120" s="714">
        <v>0.05</v>
      </c>
      <c r="AA120" s="714">
        <v>31.917999999999999</v>
      </c>
      <c r="AB120" s="714">
        <v>29.33</v>
      </c>
      <c r="AC120" s="704">
        <v>27.14</v>
      </c>
      <c r="AD120" s="704">
        <v>20.38</v>
      </c>
      <c r="AE120" s="704">
        <v>8.2100000000000009</v>
      </c>
      <c r="AF120" s="715">
        <v>4.0199999999999996</v>
      </c>
      <c r="AG120" s="704"/>
      <c r="AH120" s="715"/>
      <c r="AI120" s="715"/>
      <c r="AJ120" s="716"/>
      <c r="AK120" s="704"/>
      <c r="AL120" s="717">
        <f t="shared" si="58"/>
        <v>4.0800000000000018</v>
      </c>
      <c r="AM120" s="718">
        <v>2.5099999999999998</v>
      </c>
      <c r="AN120" s="718">
        <v>2.4700000000000002</v>
      </c>
      <c r="AO120" s="718">
        <f t="shared" si="48"/>
        <v>13.994400000000008</v>
      </c>
      <c r="AP120" s="718">
        <f t="shared" si="61"/>
        <v>18.97440000000001</v>
      </c>
      <c r="AQ120" s="719">
        <v>4.5999999999999996</v>
      </c>
      <c r="AR120" s="719">
        <v>3.9999999999999996</v>
      </c>
      <c r="AS120" s="716">
        <v>28</v>
      </c>
      <c r="AT120" s="716">
        <v>0.6</v>
      </c>
      <c r="AU120" s="716">
        <v>28</v>
      </c>
      <c r="AV120" s="716">
        <f t="shared" si="39"/>
        <v>16.8</v>
      </c>
      <c r="AW120" s="716">
        <f t="shared" si="40"/>
        <v>111.99999999999999</v>
      </c>
      <c r="AX120" s="716">
        <f t="shared" ref="AX120:AX122" si="64">AQ120*AS120</f>
        <v>128.79999999999998</v>
      </c>
      <c r="AY120" s="716">
        <f t="shared" si="41"/>
        <v>0</v>
      </c>
      <c r="AZ120" s="716">
        <v>100</v>
      </c>
      <c r="BA120" s="716">
        <v>32.5</v>
      </c>
      <c r="BB120" s="720">
        <v>12000</v>
      </c>
      <c r="BC120" s="716">
        <v>62</v>
      </c>
      <c r="BD120" s="716">
        <v>10</v>
      </c>
      <c r="BE120" s="716">
        <v>80</v>
      </c>
      <c r="BF120" s="716"/>
      <c r="BG120" s="716"/>
      <c r="BH120" s="716"/>
      <c r="BI120" s="716"/>
      <c r="BJ120" s="744">
        <f>10+5</f>
        <v>15</v>
      </c>
      <c r="BK120" s="744"/>
      <c r="BL120" s="744"/>
      <c r="BM120" s="745"/>
      <c r="BN120" s="722">
        <f t="shared" si="62"/>
        <v>447.27440000000001</v>
      </c>
      <c r="BO120" s="708"/>
      <c r="BP120" s="708"/>
      <c r="BQ120" s="724"/>
      <c r="BR120" s="703">
        <f t="shared" si="38"/>
        <v>399.99999999999994</v>
      </c>
      <c r="BS120" s="703">
        <f t="shared" si="42"/>
        <v>272</v>
      </c>
    </row>
    <row r="121" spans="1:71" s="726" customFormat="1">
      <c r="A121" s="704" t="s">
        <v>93</v>
      </c>
      <c r="B121" s="705">
        <v>55</v>
      </c>
      <c r="C121" s="706"/>
      <c r="D121" s="707" t="s">
        <v>821</v>
      </c>
      <c r="E121" s="706" t="s">
        <v>822</v>
      </c>
      <c r="F121" s="708">
        <v>44682</v>
      </c>
      <c r="G121" s="706" t="s">
        <v>823</v>
      </c>
      <c r="H121" s="709">
        <v>70619</v>
      </c>
      <c r="I121" s="710" t="s">
        <v>323</v>
      </c>
      <c r="J121" s="711"/>
      <c r="K121" s="712" t="s">
        <v>824</v>
      </c>
      <c r="L121" s="706" t="s">
        <v>825</v>
      </c>
      <c r="M121" s="713">
        <v>31055</v>
      </c>
      <c r="N121" s="714" t="s">
        <v>826</v>
      </c>
      <c r="O121" s="714">
        <v>92.257000000000005</v>
      </c>
      <c r="P121" s="714">
        <v>90.846000000000004</v>
      </c>
      <c r="Q121" s="714">
        <v>21.390999999999998</v>
      </c>
      <c r="R121" s="714">
        <v>0.25</v>
      </c>
      <c r="S121" s="714">
        <v>16.795000000000002</v>
      </c>
      <c r="T121" s="714">
        <v>14.859</v>
      </c>
      <c r="U121" s="714">
        <v>6.6360000000000001</v>
      </c>
      <c r="V121" s="714"/>
      <c r="W121" s="714"/>
      <c r="X121" s="714"/>
      <c r="Y121" s="714"/>
      <c r="Z121" s="714"/>
      <c r="AA121" s="714"/>
      <c r="AB121" s="714"/>
      <c r="AC121" s="704"/>
      <c r="AD121" s="704"/>
      <c r="AE121" s="704"/>
      <c r="AF121" s="715"/>
      <c r="AG121" s="704"/>
      <c r="AH121" s="715"/>
      <c r="AI121" s="715"/>
      <c r="AJ121" s="716"/>
      <c r="AK121" s="704"/>
      <c r="AL121" s="717">
        <f t="shared" si="58"/>
        <v>1.4110000000000014</v>
      </c>
      <c r="AM121" s="718">
        <v>2.5099999999999998</v>
      </c>
      <c r="AN121" s="718">
        <v>2.4700000000000002</v>
      </c>
      <c r="AO121" s="718">
        <f t="shared" si="48"/>
        <v>4.8397300000000048</v>
      </c>
      <c r="AP121" s="718">
        <f t="shared" si="61"/>
        <v>9.8197300000000052</v>
      </c>
      <c r="AQ121" s="719">
        <v>4.5999999999999996</v>
      </c>
      <c r="AR121" s="719">
        <v>3.9999999999999996</v>
      </c>
      <c r="AS121" s="716">
        <v>28</v>
      </c>
      <c r="AT121" s="716">
        <v>0.6</v>
      </c>
      <c r="AU121" s="716">
        <v>28</v>
      </c>
      <c r="AV121" s="716">
        <f t="shared" ref="AV121:AV154" si="65">AT121*AU121</f>
        <v>16.8</v>
      </c>
      <c r="AW121" s="716">
        <f t="shared" ref="AW121:AW154" si="66">AR121*AS121</f>
        <v>111.99999999999999</v>
      </c>
      <c r="AX121" s="716">
        <f t="shared" si="64"/>
        <v>128.79999999999998</v>
      </c>
      <c r="AY121" s="716">
        <f t="shared" si="41"/>
        <v>0</v>
      </c>
      <c r="AZ121" s="716">
        <v>100</v>
      </c>
      <c r="BA121" s="716">
        <v>32.5</v>
      </c>
      <c r="BB121" s="720">
        <v>10000</v>
      </c>
      <c r="BC121" s="716">
        <v>52</v>
      </c>
      <c r="BD121" s="716">
        <v>10</v>
      </c>
      <c r="BE121" s="716">
        <v>80</v>
      </c>
      <c r="BF121" s="716"/>
      <c r="BG121" s="716"/>
      <c r="BH121" s="716"/>
      <c r="BI121" s="716"/>
      <c r="BJ121" s="745"/>
      <c r="BK121" s="745"/>
      <c r="BL121" s="745"/>
      <c r="BM121" s="745"/>
      <c r="BN121" s="722">
        <f t="shared" si="62"/>
        <v>413.11973</v>
      </c>
      <c r="BO121" s="708"/>
      <c r="BP121" s="708"/>
      <c r="BQ121" s="724"/>
      <c r="BR121" s="703">
        <f t="shared" si="38"/>
        <v>399.99999999999994</v>
      </c>
      <c r="BS121" s="703">
        <f t="shared" si="42"/>
        <v>273</v>
      </c>
    </row>
    <row r="122" spans="1:71" s="726" customFormat="1">
      <c r="A122" s="704" t="s">
        <v>93</v>
      </c>
      <c r="B122" s="705">
        <v>56</v>
      </c>
      <c r="C122" s="706"/>
      <c r="D122" s="707" t="s">
        <v>175</v>
      </c>
      <c r="E122" s="706" t="s">
        <v>176</v>
      </c>
      <c r="F122" s="708">
        <v>41386</v>
      </c>
      <c r="G122" s="706" t="s">
        <v>827</v>
      </c>
      <c r="H122" s="709">
        <v>70619</v>
      </c>
      <c r="I122" s="710" t="s">
        <v>323</v>
      </c>
      <c r="J122" s="733"/>
      <c r="K122" s="743" t="s">
        <v>535</v>
      </c>
      <c r="L122" s="706" t="s">
        <v>536</v>
      </c>
      <c r="M122" s="713">
        <v>25765</v>
      </c>
      <c r="N122" s="714"/>
      <c r="O122" s="714">
        <v>24.690999999999999</v>
      </c>
      <c r="P122" s="714">
        <v>21.969000000000001</v>
      </c>
      <c r="Q122" s="714">
        <v>8.8010000000000002</v>
      </c>
      <c r="R122" s="714">
        <v>0.25</v>
      </c>
      <c r="S122" s="714">
        <v>96.055000000000007</v>
      </c>
      <c r="T122" s="714">
        <v>87.100999999999999</v>
      </c>
      <c r="U122" s="714">
        <v>55.155000000000001</v>
      </c>
      <c r="V122" s="714">
        <v>50.527000000000001</v>
      </c>
      <c r="W122" s="714">
        <v>30.343</v>
      </c>
      <c r="X122" s="714">
        <v>16.315999999999999</v>
      </c>
      <c r="Y122" s="714">
        <v>16.315000000000001</v>
      </c>
      <c r="Z122" s="714">
        <v>0.05</v>
      </c>
      <c r="AA122" s="714">
        <v>19.114999999999998</v>
      </c>
      <c r="AB122" s="714">
        <v>11.45</v>
      </c>
      <c r="AC122" s="704">
        <v>4.5999999999999996</v>
      </c>
      <c r="AD122" s="704">
        <v>3.36</v>
      </c>
      <c r="AE122" s="704">
        <v>2.58</v>
      </c>
      <c r="AF122" s="715">
        <v>1.64</v>
      </c>
      <c r="AG122" s="704"/>
      <c r="AH122" s="715"/>
      <c r="AI122" s="715"/>
      <c r="AJ122" s="716"/>
      <c r="AK122" s="704"/>
      <c r="AL122" s="717">
        <f t="shared" si="58"/>
        <v>2.7219999999999978</v>
      </c>
      <c r="AM122" s="718">
        <v>2.5099999999999998</v>
      </c>
      <c r="AN122" s="718">
        <v>2.4700000000000002</v>
      </c>
      <c r="AO122" s="718">
        <f t="shared" si="48"/>
        <v>9.3364599999999935</v>
      </c>
      <c r="AP122" s="718">
        <f t="shared" si="61"/>
        <v>14.316459999999994</v>
      </c>
      <c r="AQ122" s="719">
        <v>4.5999999999999996</v>
      </c>
      <c r="AR122" s="719">
        <v>3.9999999999999996</v>
      </c>
      <c r="AS122" s="716">
        <v>28</v>
      </c>
      <c r="AT122" s="716">
        <v>0.6</v>
      </c>
      <c r="AU122" s="716">
        <v>28</v>
      </c>
      <c r="AV122" s="716">
        <f t="shared" si="65"/>
        <v>16.8</v>
      </c>
      <c r="AW122" s="716">
        <f t="shared" si="66"/>
        <v>111.99999999999999</v>
      </c>
      <c r="AX122" s="716">
        <f t="shared" si="64"/>
        <v>128.79999999999998</v>
      </c>
      <c r="AY122" s="716">
        <f t="shared" ref="AY122:AY154" si="67">AX122-(AV122+AW122)</f>
        <v>0</v>
      </c>
      <c r="AZ122" s="716">
        <v>100</v>
      </c>
      <c r="BA122" s="716"/>
      <c r="BB122" s="720">
        <v>10000</v>
      </c>
      <c r="BC122" s="716">
        <v>52</v>
      </c>
      <c r="BD122" s="716">
        <v>10</v>
      </c>
      <c r="BE122" s="716">
        <v>80</v>
      </c>
      <c r="BF122" s="716"/>
      <c r="BG122" s="716"/>
      <c r="BH122" s="716"/>
      <c r="BI122" s="716"/>
      <c r="BJ122" s="744"/>
      <c r="BK122" s="744"/>
      <c r="BL122" s="744"/>
      <c r="BM122" s="745"/>
      <c r="BN122" s="722">
        <f t="shared" si="62"/>
        <v>385.11645999999996</v>
      </c>
      <c r="BO122" s="708"/>
      <c r="BP122" s="708"/>
      <c r="BQ122" s="724"/>
      <c r="BR122" s="703">
        <f t="shared" si="38"/>
        <v>399.99999999999994</v>
      </c>
      <c r="BS122" s="703">
        <f t="shared" si="42"/>
        <v>274</v>
      </c>
    </row>
    <row r="123" spans="1:71" s="726" customFormat="1">
      <c r="A123" s="704" t="s">
        <v>93</v>
      </c>
      <c r="B123" s="705">
        <v>57</v>
      </c>
      <c r="C123" s="706"/>
      <c r="D123" s="707" t="s">
        <v>828</v>
      </c>
      <c r="E123" s="706" t="s">
        <v>829</v>
      </c>
      <c r="F123" s="708">
        <v>44896</v>
      </c>
      <c r="G123" s="706" t="s">
        <v>932</v>
      </c>
      <c r="H123" s="709">
        <v>70619</v>
      </c>
      <c r="I123" s="710" t="s">
        <v>323</v>
      </c>
      <c r="J123" s="711"/>
      <c r="K123" s="725" t="s">
        <v>830</v>
      </c>
      <c r="L123" s="706" t="s">
        <v>831</v>
      </c>
      <c r="M123" s="713">
        <v>32344</v>
      </c>
      <c r="N123" s="714"/>
      <c r="O123" s="714">
        <v>29.324000000000002</v>
      </c>
      <c r="P123" s="714">
        <v>20.085999999999999</v>
      </c>
      <c r="Q123" s="714">
        <v>9.5969999999999995</v>
      </c>
      <c r="R123" s="714">
        <v>0.25</v>
      </c>
      <c r="S123" s="714">
        <v>62.316000000000003</v>
      </c>
      <c r="T123" s="714">
        <v>59.220999999999997</v>
      </c>
      <c r="U123" s="714">
        <v>47.527999999999999</v>
      </c>
      <c r="V123" s="714">
        <v>42.915999999999997</v>
      </c>
      <c r="W123" s="714">
        <v>30.603999999999999</v>
      </c>
      <c r="X123" s="714">
        <v>23.972999999999999</v>
      </c>
      <c r="Y123" s="714">
        <v>18.832000000000001</v>
      </c>
      <c r="Z123" s="714">
        <v>0.05</v>
      </c>
      <c r="AA123" s="714">
        <v>25.678999999999998</v>
      </c>
      <c r="AB123" s="714">
        <v>20.79</v>
      </c>
      <c r="AC123" s="704">
        <v>16.41</v>
      </c>
      <c r="AD123" s="704">
        <v>14.12</v>
      </c>
      <c r="AE123" s="704">
        <v>5.77</v>
      </c>
      <c r="AF123" s="715"/>
      <c r="AG123" s="704"/>
      <c r="AH123" s="715"/>
      <c r="AI123" s="715"/>
      <c r="AJ123" s="716"/>
      <c r="AK123" s="704"/>
      <c r="AL123" s="717">
        <f t="shared" si="58"/>
        <v>9.2380000000000031</v>
      </c>
      <c r="AM123" s="718">
        <v>2.5099999999999998</v>
      </c>
      <c r="AN123" s="718">
        <v>2.4700000000000002</v>
      </c>
      <c r="AO123" s="718">
        <f t="shared" si="48"/>
        <v>31.686340000000012</v>
      </c>
      <c r="AP123" s="718">
        <f t="shared" si="61"/>
        <v>36.666340000000012</v>
      </c>
      <c r="AQ123" s="719">
        <v>4.5999999999999996</v>
      </c>
      <c r="AR123" s="719">
        <v>3.9999999999999996</v>
      </c>
      <c r="AS123" s="716">
        <v>28</v>
      </c>
      <c r="AT123" s="716">
        <v>0.6</v>
      </c>
      <c r="AU123" s="716">
        <v>28</v>
      </c>
      <c r="AV123" s="716">
        <f t="shared" si="65"/>
        <v>16.8</v>
      </c>
      <c r="AW123" s="716">
        <f t="shared" si="66"/>
        <v>111.99999999999999</v>
      </c>
      <c r="AX123" s="716">
        <f>AQ123*AS123</f>
        <v>128.79999999999998</v>
      </c>
      <c r="AY123" s="716">
        <f t="shared" si="67"/>
        <v>0</v>
      </c>
      <c r="AZ123" s="716">
        <v>100</v>
      </c>
      <c r="BA123" s="716"/>
      <c r="BB123" s="720">
        <v>10000</v>
      </c>
      <c r="BC123" s="716">
        <v>52</v>
      </c>
      <c r="BD123" s="716">
        <v>10</v>
      </c>
      <c r="BE123" s="716">
        <v>80</v>
      </c>
      <c r="BF123" s="716"/>
      <c r="BG123" s="716"/>
      <c r="BH123" s="716"/>
      <c r="BI123" s="716"/>
      <c r="BJ123" s="744"/>
      <c r="BK123" s="744"/>
      <c r="BL123" s="744"/>
      <c r="BM123" s="745"/>
      <c r="BN123" s="722">
        <f t="shared" si="62"/>
        <v>407.46634</v>
      </c>
      <c r="BO123" s="708"/>
      <c r="BP123" s="708"/>
      <c r="BQ123" s="724"/>
      <c r="BR123" s="703">
        <f t="shared" si="38"/>
        <v>399.99999999999994</v>
      </c>
      <c r="BS123" s="703">
        <f t="shared" si="42"/>
        <v>275</v>
      </c>
    </row>
    <row r="124" spans="1:71" s="726" customFormat="1">
      <c r="A124" s="704" t="s">
        <v>93</v>
      </c>
      <c r="B124" s="705">
        <v>58</v>
      </c>
      <c r="C124" s="706"/>
      <c r="D124" s="707" t="s">
        <v>132</v>
      </c>
      <c r="E124" s="706" t="s">
        <v>83</v>
      </c>
      <c r="F124" s="708">
        <v>29149</v>
      </c>
      <c r="G124" s="706" t="s">
        <v>448</v>
      </c>
      <c r="H124" s="709">
        <v>70619</v>
      </c>
      <c r="I124" s="710" t="s">
        <v>323</v>
      </c>
      <c r="J124" s="711" t="s">
        <v>537</v>
      </c>
      <c r="K124" s="725"/>
      <c r="L124" s="706" t="s">
        <v>538</v>
      </c>
      <c r="M124" s="713">
        <v>17662</v>
      </c>
      <c r="N124" s="714"/>
      <c r="O124" s="714">
        <v>11.43</v>
      </c>
      <c r="P124" s="714">
        <v>10.465999999999999</v>
      </c>
      <c r="Q124" s="714">
        <v>5.1539999999999999</v>
      </c>
      <c r="R124" s="714">
        <v>0.25</v>
      </c>
      <c r="S124" s="714">
        <v>18.86</v>
      </c>
      <c r="T124" s="714">
        <v>16.192</v>
      </c>
      <c r="U124" s="714">
        <v>11.935</v>
      </c>
      <c r="V124" s="714">
        <v>8.8919999999999995</v>
      </c>
      <c r="W124" s="714">
        <v>6.1879999999999997</v>
      </c>
      <c r="X124" s="714">
        <v>5.28</v>
      </c>
      <c r="Y124" s="714">
        <v>4.7030000000000003</v>
      </c>
      <c r="Z124" s="714">
        <v>0.05</v>
      </c>
      <c r="AA124" s="714">
        <v>2.2679999999999998</v>
      </c>
      <c r="AB124" s="714">
        <v>1.98</v>
      </c>
      <c r="AC124" s="704">
        <v>1.37</v>
      </c>
      <c r="AD124" s="704">
        <v>1.08</v>
      </c>
      <c r="AE124" s="704">
        <v>0.87</v>
      </c>
      <c r="AF124" s="715">
        <v>0.31</v>
      </c>
      <c r="AG124" s="704"/>
      <c r="AH124" s="715"/>
      <c r="AI124" s="715"/>
      <c r="AJ124" s="716"/>
      <c r="AK124" s="704"/>
      <c r="AL124" s="717">
        <f t="shared" si="58"/>
        <v>0.96400000000000041</v>
      </c>
      <c r="AM124" s="718">
        <v>2.5099999999999998</v>
      </c>
      <c r="AN124" s="718">
        <v>2.4700000000000002</v>
      </c>
      <c r="AO124" s="718">
        <f t="shared" si="48"/>
        <v>3.3065200000000017</v>
      </c>
      <c r="AP124" s="718">
        <f t="shared" si="61"/>
        <v>8.286520000000003</v>
      </c>
      <c r="AQ124" s="719">
        <v>4.5999999999999996</v>
      </c>
      <c r="AR124" s="719">
        <v>3.9999999999999996</v>
      </c>
      <c r="AS124" s="716">
        <v>28</v>
      </c>
      <c r="AT124" s="716">
        <v>0.6</v>
      </c>
      <c r="AU124" s="716">
        <v>28</v>
      </c>
      <c r="AV124" s="716">
        <f t="shared" si="65"/>
        <v>16.8</v>
      </c>
      <c r="AW124" s="716">
        <f t="shared" si="66"/>
        <v>111.99999999999999</v>
      </c>
      <c r="AX124" s="716">
        <f t="shared" ref="AX124:AX135" si="68">AQ124*AS124</f>
        <v>128.79999999999998</v>
      </c>
      <c r="AY124" s="716">
        <f t="shared" si="67"/>
        <v>0</v>
      </c>
      <c r="AZ124" s="716">
        <v>100</v>
      </c>
      <c r="BA124" s="716">
        <v>32.5</v>
      </c>
      <c r="BB124" s="720">
        <v>10000</v>
      </c>
      <c r="BC124" s="716">
        <v>52</v>
      </c>
      <c r="BD124" s="716">
        <v>10</v>
      </c>
      <c r="BE124" s="716">
        <v>80</v>
      </c>
      <c r="BF124" s="716"/>
      <c r="BG124" s="716"/>
      <c r="BH124" s="716"/>
      <c r="BI124" s="716"/>
      <c r="BJ124" s="744"/>
      <c r="BK124" s="744"/>
      <c r="BL124" s="744"/>
      <c r="BM124" s="745"/>
      <c r="BN124" s="722">
        <f t="shared" si="62"/>
        <v>411.58652000000001</v>
      </c>
      <c r="BO124" s="708"/>
      <c r="BP124" s="708"/>
      <c r="BQ124" s="724"/>
      <c r="BR124" s="703">
        <f t="shared" si="38"/>
        <v>399.99999999999994</v>
      </c>
      <c r="BS124" s="703">
        <f t="shared" si="42"/>
        <v>276</v>
      </c>
    </row>
    <row r="125" spans="1:71" s="726" customFormat="1">
      <c r="A125" s="704" t="s">
        <v>93</v>
      </c>
      <c r="B125" s="705">
        <v>59</v>
      </c>
      <c r="C125" s="706"/>
      <c r="D125" s="707" t="s">
        <v>237</v>
      </c>
      <c r="E125" s="706" t="s">
        <v>238</v>
      </c>
      <c r="F125" s="708">
        <v>42705</v>
      </c>
      <c r="G125" s="706" t="s">
        <v>542</v>
      </c>
      <c r="H125" s="709">
        <v>70599</v>
      </c>
      <c r="I125" s="710" t="s">
        <v>323</v>
      </c>
      <c r="J125" s="711"/>
      <c r="K125" s="725"/>
      <c r="L125" s="706" t="s">
        <v>543</v>
      </c>
      <c r="M125" s="713">
        <v>16642</v>
      </c>
      <c r="N125" s="714"/>
      <c r="O125" s="714">
        <v>24.306000000000001</v>
      </c>
      <c r="P125" s="714">
        <v>20.968</v>
      </c>
      <c r="Q125" s="714">
        <v>9.3469999999999995</v>
      </c>
      <c r="R125" s="714">
        <v>0.25</v>
      </c>
      <c r="S125" s="714">
        <v>114.851</v>
      </c>
      <c r="T125" s="714">
        <v>108.68600000000001</v>
      </c>
      <c r="U125" s="714">
        <v>84.305999999999997</v>
      </c>
      <c r="V125" s="714">
        <v>75.045000000000002</v>
      </c>
      <c r="W125" s="714">
        <v>59.970999999999997</v>
      </c>
      <c r="X125" s="714">
        <v>52.936999999999998</v>
      </c>
      <c r="Y125" s="714">
        <v>9.68</v>
      </c>
      <c r="Z125" s="714">
        <v>0.05</v>
      </c>
      <c r="AA125" s="714">
        <v>20.582000000000001</v>
      </c>
      <c r="AB125" s="714">
        <v>15.24</v>
      </c>
      <c r="AC125" s="704">
        <v>12.68</v>
      </c>
      <c r="AD125" s="704">
        <v>9.82</v>
      </c>
      <c r="AE125" s="704">
        <v>7.26</v>
      </c>
      <c r="AF125" s="715">
        <v>6.17</v>
      </c>
      <c r="AG125" s="704"/>
      <c r="AH125" s="715"/>
      <c r="AI125" s="715"/>
      <c r="AJ125" s="716"/>
      <c r="AK125" s="704"/>
      <c r="AL125" s="717">
        <f t="shared" si="58"/>
        <v>3.338000000000001</v>
      </c>
      <c r="AM125" s="718">
        <v>2.5099999999999998</v>
      </c>
      <c r="AN125" s="718">
        <v>2.4700000000000002</v>
      </c>
      <c r="AO125" s="718">
        <f t="shared" si="48"/>
        <v>11.449340000000005</v>
      </c>
      <c r="AP125" s="718">
        <f t="shared" si="61"/>
        <v>16.429340000000003</v>
      </c>
      <c r="AQ125" s="719">
        <v>3.6</v>
      </c>
      <c r="AR125" s="719">
        <v>3</v>
      </c>
      <c r="AS125" s="716">
        <v>28</v>
      </c>
      <c r="AT125" s="716">
        <v>0.6</v>
      </c>
      <c r="AU125" s="716">
        <v>28</v>
      </c>
      <c r="AV125" s="716">
        <f t="shared" si="65"/>
        <v>16.8</v>
      </c>
      <c r="AW125" s="716">
        <f t="shared" si="66"/>
        <v>84</v>
      </c>
      <c r="AX125" s="716">
        <f t="shared" si="68"/>
        <v>100.8</v>
      </c>
      <c r="AY125" s="716">
        <f t="shared" si="67"/>
        <v>0</v>
      </c>
      <c r="AZ125" s="716">
        <v>100</v>
      </c>
      <c r="BA125" s="716"/>
      <c r="BB125" s="720">
        <v>10000</v>
      </c>
      <c r="BC125" s="716">
        <v>52</v>
      </c>
      <c r="BD125" s="716">
        <v>10</v>
      </c>
      <c r="BE125" s="716">
        <v>80</v>
      </c>
      <c r="BF125" s="716"/>
      <c r="BG125" s="716"/>
      <c r="BH125" s="716"/>
      <c r="BI125" s="716"/>
      <c r="BJ125" s="744"/>
      <c r="BK125" s="744"/>
      <c r="BL125" s="744"/>
      <c r="BM125" s="745"/>
      <c r="BN125" s="722">
        <f t="shared" si="62"/>
        <v>359.22933999999998</v>
      </c>
      <c r="BO125" s="708"/>
      <c r="BP125" s="708"/>
      <c r="BQ125" s="724"/>
      <c r="BR125" s="703">
        <f t="shared" si="38"/>
        <v>300</v>
      </c>
      <c r="BS125" s="703">
        <f t="shared" si="42"/>
        <v>277</v>
      </c>
    </row>
    <row r="126" spans="1:71" s="726" customFormat="1">
      <c r="A126" s="704" t="s">
        <v>93</v>
      </c>
      <c r="B126" s="705">
        <v>59</v>
      </c>
      <c r="C126" s="706" t="s">
        <v>78</v>
      </c>
      <c r="D126" s="707" t="s">
        <v>133</v>
      </c>
      <c r="E126" s="706" t="s">
        <v>134</v>
      </c>
      <c r="F126" s="708">
        <v>41030</v>
      </c>
      <c r="G126" s="706" t="s">
        <v>539</v>
      </c>
      <c r="H126" s="709">
        <v>70619</v>
      </c>
      <c r="I126" s="710" t="s">
        <v>323</v>
      </c>
      <c r="J126" s="711" t="s">
        <v>540</v>
      </c>
      <c r="K126" s="725"/>
      <c r="L126" s="706" t="s">
        <v>541</v>
      </c>
      <c r="M126" s="713">
        <v>18921</v>
      </c>
      <c r="N126" s="714"/>
      <c r="O126" s="714">
        <v>23.082000000000001</v>
      </c>
      <c r="P126" s="714">
        <v>21.52</v>
      </c>
      <c r="Q126" s="714">
        <v>13.558</v>
      </c>
      <c r="R126" s="714">
        <v>0.25</v>
      </c>
      <c r="S126" s="714">
        <v>38.454000000000001</v>
      </c>
      <c r="T126" s="714">
        <v>36.052</v>
      </c>
      <c r="U126" s="714">
        <v>28.376000000000001</v>
      </c>
      <c r="V126" s="714">
        <v>24.675000000000001</v>
      </c>
      <c r="W126" s="714">
        <v>17.283000000000001</v>
      </c>
      <c r="X126" s="714">
        <v>14.5</v>
      </c>
      <c r="Y126" s="714"/>
      <c r="Z126" s="714"/>
      <c r="AA126" s="714"/>
      <c r="AB126" s="714"/>
      <c r="AC126" s="704"/>
      <c r="AD126" s="704"/>
      <c r="AE126" s="704"/>
      <c r="AF126" s="715"/>
      <c r="AG126" s="704"/>
      <c r="AH126" s="715"/>
      <c r="AI126" s="715"/>
      <c r="AJ126" s="716"/>
      <c r="AK126" s="704"/>
      <c r="AL126" s="717">
        <f t="shared" si="58"/>
        <v>1.5620000000000012</v>
      </c>
      <c r="AM126" s="718">
        <v>2.5099999999999998</v>
      </c>
      <c r="AN126" s="718">
        <v>2.4700000000000002</v>
      </c>
      <c r="AO126" s="718">
        <f t="shared" si="48"/>
        <v>5.3576600000000045</v>
      </c>
      <c r="AP126" s="718">
        <f t="shared" si="61"/>
        <v>10.337660000000005</v>
      </c>
      <c r="AQ126" s="719">
        <v>4.5999999999999996</v>
      </c>
      <c r="AR126" s="719">
        <v>3.9999999999999996</v>
      </c>
      <c r="AS126" s="716">
        <v>28</v>
      </c>
      <c r="AT126" s="716">
        <v>0.6</v>
      </c>
      <c r="AU126" s="716">
        <v>28</v>
      </c>
      <c r="AV126" s="716">
        <f t="shared" si="65"/>
        <v>16.8</v>
      </c>
      <c r="AW126" s="716">
        <f t="shared" si="66"/>
        <v>111.99999999999999</v>
      </c>
      <c r="AX126" s="716">
        <f t="shared" si="68"/>
        <v>128.79999999999998</v>
      </c>
      <c r="AY126" s="716">
        <f t="shared" si="67"/>
        <v>0</v>
      </c>
      <c r="AZ126" s="716">
        <v>100</v>
      </c>
      <c r="BA126" s="716"/>
      <c r="BB126" s="720">
        <v>6000</v>
      </c>
      <c r="BC126" s="716">
        <v>29.5</v>
      </c>
      <c r="BD126" s="716">
        <v>10</v>
      </c>
      <c r="BE126" s="716">
        <v>80</v>
      </c>
      <c r="BF126" s="716"/>
      <c r="BG126" s="716"/>
      <c r="BH126" s="716"/>
      <c r="BI126" s="716"/>
      <c r="BJ126" s="744"/>
      <c r="BK126" s="744"/>
      <c r="BL126" s="744"/>
      <c r="BM126" s="745"/>
      <c r="BN126" s="722">
        <f t="shared" si="62"/>
        <v>358.63765999999998</v>
      </c>
      <c r="BO126" s="708"/>
      <c r="BP126" s="708"/>
      <c r="BQ126" s="707"/>
      <c r="BR126" s="703">
        <f t="shared" ref="BR126:BR154" si="69">AR126*100</f>
        <v>399.99999999999994</v>
      </c>
      <c r="BS126" s="703">
        <f t="shared" si="42"/>
        <v>278</v>
      </c>
    </row>
    <row r="127" spans="1:71" s="726" customFormat="1">
      <c r="A127" s="704" t="s">
        <v>93</v>
      </c>
      <c r="B127" s="705">
        <v>60</v>
      </c>
      <c r="C127" s="706"/>
      <c r="D127" s="707" t="s">
        <v>215</v>
      </c>
      <c r="E127" s="706" t="s">
        <v>216</v>
      </c>
      <c r="F127" s="708">
        <v>41974</v>
      </c>
      <c r="G127" s="706" t="s">
        <v>544</v>
      </c>
      <c r="H127" s="709">
        <v>70619</v>
      </c>
      <c r="I127" s="710" t="s">
        <v>323</v>
      </c>
      <c r="J127" s="711">
        <v>93310994</v>
      </c>
      <c r="K127" s="725"/>
      <c r="L127" s="706" t="s">
        <v>545</v>
      </c>
      <c r="M127" s="713">
        <v>26284</v>
      </c>
      <c r="N127" s="714"/>
      <c r="O127" s="714">
        <v>51.988999999999997</v>
      </c>
      <c r="P127" s="714">
        <v>40.939</v>
      </c>
      <c r="Q127" s="714">
        <v>24.042000000000002</v>
      </c>
      <c r="R127" s="714">
        <v>0.25</v>
      </c>
      <c r="S127" s="714">
        <v>30.686</v>
      </c>
      <c r="T127" s="714">
        <v>28.248999999999999</v>
      </c>
      <c r="U127" s="714">
        <v>16.928000000000001</v>
      </c>
      <c r="V127" s="714">
        <v>9.0969999999999995</v>
      </c>
      <c r="W127" s="714">
        <v>2.9790000000000001</v>
      </c>
      <c r="X127" s="714">
        <v>2.431</v>
      </c>
      <c r="Y127" s="714">
        <v>1.9159999999999999</v>
      </c>
      <c r="Z127" s="714">
        <v>0.05</v>
      </c>
      <c r="AA127" s="714">
        <v>31.736000000000001</v>
      </c>
      <c r="AB127" s="714">
        <v>30.71</v>
      </c>
      <c r="AC127" s="704">
        <v>27.21</v>
      </c>
      <c r="AD127" s="704">
        <v>23.3</v>
      </c>
      <c r="AE127" s="704">
        <v>16.57</v>
      </c>
      <c r="AF127" s="715">
        <v>10.31</v>
      </c>
      <c r="AG127" s="704"/>
      <c r="AH127" s="715"/>
      <c r="AI127" s="715"/>
      <c r="AJ127" s="716"/>
      <c r="AK127" s="704"/>
      <c r="AL127" s="717">
        <f t="shared" si="58"/>
        <v>11.049999999999997</v>
      </c>
      <c r="AM127" s="718">
        <v>2.5099999999999998</v>
      </c>
      <c r="AN127" s="718">
        <v>2.4700000000000002</v>
      </c>
      <c r="AO127" s="718">
        <f t="shared" si="48"/>
        <v>37.901499999999992</v>
      </c>
      <c r="AP127" s="718">
        <f t="shared" si="61"/>
        <v>42.881499999999988</v>
      </c>
      <c r="AQ127" s="719">
        <v>4.5999999999999996</v>
      </c>
      <c r="AR127" s="719">
        <v>3.9999999999999996</v>
      </c>
      <c r="AS127" s="716">
        <v>28</v>
      </c>
      <c r="AT127" s="716">
        <v>0.6</v>
      </c>
      <c r="AU127" s="716">
        <v>28</v>
      </c>
      <c r="AV127" s="716">
        <f t="shared" si="65"/>
        <v>16.8</v>
      </c>
      <c r="AW127" s="716">
        <f t="shared" si="66"/>
        <v>111.99999999999999</v>
      </c>
      <c r="AX127" s="716">
        <f t="shared" si="68"/>
        <v>128.79999999999998</v>
      </c>
      <c r="AY127" s="716">
        <f t="shared" si="67"/>
        <v>0</v>
      </c>
      <c r="AZ127" s="716">
        <v>100</v>
      </c>
      <c r="BA127" s="716">
        <v>32.5</v>
      </c>
      <c r="BB127" s="720">
        <v>10000</v>
      </c>
      <c r="BC127" s="716">
        <v>52</v>
      </c>
      <c r="BD127" s="716">
        <v>10</v>
      </c>
      <c r="BE127" s="716">
        <v>80</v>
      </c>
      <c r="BF127" s="716"/>
      <c r="BG127" s="716"/>
      <c r="BH127" s="716"/>
      <c r="BI127" s="716"/>
      <c r="BJ127" s="744"/>
      <c r="BK127" s="744"/>
      <c r="BL127" s="744"/>
      <c r="BM127" s="745"/>
      <c r="BN127" s="722">
        <f t="shared" si="62"/>
        <v>446.18149999999997</v>
      </c>
      <c r="BO127" s="708"/>
      <c r="BP127" s="708"/>
      <c r="BQ127" s="707"/>
      <c r="BR127" s="703">
        <f t="shared" si="69"/>
        <v>399.99999999999994</v>
      </c>
      <c r="BS127" s="703">
        <f t="shared" ref="BS127:BS154" si="70">BS126+1</f>
        <v>279</v>
      </c>
    </row>
    <row r="128" spans="1:71" s="726" customFormat="1" ht="22" thickBot="1">
      <c r="A128" s="704" t="s">
        <v>93</v>
      </c>
      <c r="B128" s="705">
        <v>61</v>
      </c>
      <c r="C128" s="706"/>
      <c r="D128" s="707" t="s">
        <v>230</v>
      </c>
      <c r="E128" s="706" t="s">
        <v>211</v>
      </c>
      <c r="F128" s="708">
        <v>42339</v>
      </c>
      <c r="G128" s="706" t="s">
        <v>546</v>
      </c>
      <c r="H128" s="709">
        <v>73760</v>
      </c>
      <c r="I128" s="710" t="s">
        <v>547</v>
      </c>
      <c r="J128" s="711"/>
      <c r="K128" s="725"/>
      <c r="L128" s="706" t="s">
        <v>548</v>
      </c>
      <c r="M128" s="713">
        <v>24879</v>
      </c>
      <c r="N128" s="714"/>
      <c r="O128" s="714">
        <v>1.829</v>
      </c>
      <c r="P128" s="714">
        <v>1.7969999999999999</v>
      </c>
      <c r="Q128" s="714">
        <v>0.86499999999999999</v>
      </c>
      <c r="R128" s="714">
        <v>0.25</v>
      </c>
      <c r="S128" s="714">
        <v>22.361999999999998</v>
      </c>
      <c r="T128" s="714">
        <v>20.989000000000001</v>
      </c>
      <c r="U128" s="714">
        <v>15.147</v>
      </c>
      <c r="V128" s="714">
        <v>12.021000000000001</v>
      </c>
      <c r="W128" s="714">
        <v>9.2089999999999996</v>
      </c>
      <c r="X128" s="714">
        <v>5.9240000000000004</v>
      </c>
      <c r="Y128" s="714">
        <v>1.8879999999999999</v>
      </c>
      <c r="Z128" s="714">
        <v>0</v>
      </c>
      <c r="AA128" s="714"/>
      <c r="AB128" s="714"/>
      <c r="AC128" s="704"/>
      <c r="AD128" s="704"/>
      <c r="AE128" s="704"/>
      <c r="AF128" s="715"/>
      <c r="AG128" s="704"/>
      <c r="AH128" s="715"/>
      <c r="AI128" s="715"/>
      <c r="AJ128" s="716"/>
      <c r="AK128" s="704"/>
      <c r="AL128" s="717">
        <f t="shared" si="58"/>
        <v>3.2000000000000028E-2</v>
      </c>
      <c r="AM128" s="718">
        <v>2.5099999999999998</v>
      </c>
      <c r="AN128" s="718">
        <v>2.4700000000000002</v>
      </c>
      <c r="AO128" s="718">
        <f t="shared" si="48"/>
        <v>0.10976000000000011</v>
      </c>
      <c r="AP128" s="718">
        <f t="shared" si="61"/>
        <v>5.089760000000001</v>
      </c>
      <c r="AQ128" s="719">
        <v>4.5999999999999996</v>
      </c>
      <c r="AR128" s="719">
        <v>3.9999999999999996</v>
      </c>
      <c r="AS128" s="716">
        <v>28</v>
      </c>
      <c r="AT128" s="716">
        <v>0.6</v>
      </c>
      <c r="AU128" s="716">
        <v>28</v>
      </c>
      <c r="AV128" s="716">
        <f t="shared" si="65"/>
        <v>16.8</v>
      </c>
      <c r="AW128" s="716">
        <f t="shared" si="66"/>
        <v>111.99999999999999</v>
      </c>
      <c r="AX128" s="716">
        <f t="shared" si="68"/>
        <v>128.79999999999998</v>
      </c>
      <c r="AY128" s="716">
        <f t="shared" si="67"/>
        <v>0</v>
      </c>
      <c r="AZ128" s="716">
        <v>100</v>
      </c>
      <c r="BA128" s="716">
        <v>32.5</v>
      </c>
      <c r="BB128" s="720">
        <v>10000</v>
      </c>
      <c r="BC128" s="716">
        <v>52</v>
      </c>
      <c r="BD128" s="716">
        <v>10</v>
      </c>
      <c r="BE128" s="716">
        <v>80</v>
      </c>
      <c r="BF128" s="716"/>
      <c r="BG128" s="716"/>
      <c r="BH128" s="716"/>
      <c r="BI128" s="716"/>
      <c r="BJ128" s="744"/>
      <c r="BK128" s="744"/>
      <c r="BL128" s="744"/>
      <c r="BM128" s="745"/>
      <c r="BN128" s="722">
        <f t="shared" si="62"/>
        <v>408.38976000000002</v>
      </c>
      <c r="BO128" s="708"/>
      <c r="BP128" s="708"/>
      <c r="BQ128" s="724"/>
      <c r="BR128" s="703">
        <f t="shared" si="69"/>
        <v>399.99999999999994</v>
      </c>
      <c r="BS128" s="703">
        <f t="shared" si="70"/>
        <v>280</v>
      </c>
    </row>
    <row r="129" spans="1:71" s="726" customFormat="1" ht="22" thickBot="1">
      <c r="A129" s="704" t="s">
        <v>93</v>
      </c>
      <c r="B129" s="705">
        <v>62</v>
      </c>
      <c r="C129" s="706"/>
      <c r="D129" s="707" t="s">
        <v>135</v>
      </c>
      <c r="E129" s="706" t="s">
        <v>136</v>
      </c>
      <c r="F129" s="708">
        <v>41030</v>
      </c>
      <c r="G129" s="706" t="s">
        <v>331</v>
      </c>
      <c r="H129" s="709">
        <v>70619</v>
      </c>
      <c r="I129" s="710" t="s">
        <v>323</v>
      </c>
      <c r="J129" s="711" t="s">
        <v>549</v>
      </c>
      <c r="K129" s="725"/>
      <c r="L129" s="706" t="s">
        <v>702</v>
      </c>
      <c r="M129" s="713">
        <v>16982</v>
      </c>
      <c r="N129" s="714"/>
      <c r="O129" s="714">
        <v>10.728</v>
      </c>
      <c r="P129" s="714">
        <v>10.726000000000001</v>
      </c>
      <c r="Q129" s="714">
        <v>3.9420000000000002</v>
      </c>
      <c r="R129" s="714">
        <v>0.25</v>
      </c>
      <c r="S129" s="714">
        <v>11.084</v>
      </c>
      <c r="T129" s="714">
        <v>10.859</v>
      </c>
      <c r="U129" s="778">
        <v>10.294</v>
      </c>
      <c r="V129" s="778">
        <v>10.291</v>
      </c>
      <c r="W129" s="778">
        <v>4.8639999999999999</v>
      </c>
      <c r="X129" s="778">
        <v>3.7650000000000001</v>
      </c>
      <c r="Y129" s="778">
        <v>2.2170000000000001</v>
      </c>
      <c r="Z129" s="778">
        <v>0.05</v>
      </c>
      <c r="AA129" s="778">
        <v>15.680999999999999</v>
      </c>
      <c r="AB129" s="714">
        <v>16.52</v>
      </c>
      <c r="AC129" s="704">
        <v>15.99</v>
      </c>
      <c r="AD129" s="704">
        <v>13.66</v>
      </c>
      <c r="AE129" s="704">
        <v>12.1</v>
      </c>
      <c r="AF129" s="715">
        <v>5.67</v>
      </c>
      <c r="AG129" s="704"/>
      <c r="AH129" s="715"/>
      <c r="AI129" s="715"/>
      <c r="AJ129" s="716"/>
      <c r="AK129" s="704"/>
      <c r="AL129" s="717">
        <f t="shared" si="58"/>
        <v>1.9999999999988916E-3</v>
      </c>
      <c r="AM129" s="718">
        <v>2.5099999999999998</v>
      </c>
      <c r="AN129" s="718">
        <v>2.4700000000000002</v>
      </c>
      <c r="AO129" s="718">
        <f t="shared" si="48"/>
        <v>6.8599999999961981E-3</v>
      </c>
      <c r="AP129" s="718">
        <f t="shared" si="61"/>
        <v>4.9868599999999965</v>
      </c>
      <c r="AQ129" s="719">
        <v>4.5999999999999996</v>
      </c>
      <c r="AR129" s="719">
        <v>3.9999999999999996</v>
      </c>
      <c r="AS129" s="716">
        <v>28</v>
      </c>
      <c r="AT129" s="716">
        <v>0.6</v>
      </c>
      <c r="AU129" s="716">
        <v>28</v>
      </c>
      <c r="AV129" s="716">
        <f t="shared" si="65"/>
        <v>16.8</v>
      </c>
      <c r="AW129" s="716">
        <f t="shared" si="66"/>
        <v>111.99999999999999</v>
      </c>
      <c r="AX129" s="716">
        <f t="shared" si="68"/>
        <v>128.79999999999998</v>
      </c>
      <c r="AY129" s="716">
        <f t="shared" si="67"/>
        <v>0</v>
      </c>
      <c r="AZ129" s="716">
        <v>100</v>
      </c>
      <c r="BA129" s="716"/>
      <c r="BB129" s="720">
        <v>10000</v>
      </c>
      <c r="BC129" s="716">
        <v>52</v>
      </c>
      <c r="BD129" s="716">
        <v>10</v>
      </c>
      <c r="BE129" s="716">
        <v>80</v>
      </c>
      <c r="BF129" s="716"/>
      <c r="BG129" s="716"/>
      <c r="BH129" s="716"/>
      <c r="BI129" s="716"/>
      <c r="BJ129" s="744"/>
      <c r="BK129" s="744"/>
      <c r="BL129" s="744"/>
      <c r="BM129" s="745"/>
      <c r="BN129" s="722">
        <f t="shared" si="62"/>
        <v>375.78685999999999</v>
      </c>
      <c r="BO129" s="745"/>
      <c r="BP129" s="779"/>
      <c r="BQ129" s="724"/>
      <c r="BR129" s="703">
        <f t="shared" si="69"/>
        <v>399.99999999999994</v>
      </c>
      <c r="BS129" s="703">
        <f t="shared" si="70"/>
        <v>281</v>
      </c>
    </row>
    <row r="130" spans="1:71" s="726" customFormat="1">
      <c r="A130" s="704" t="s">
        <v>93</v>
      </c>
      <c r="B130" s="705">
        <v>63</v>
      </c>
      <c r="C130" s="706"/>
      <c r="D130" s="707" t="s">
        <v>137</v>
      </c>
      <c r="E130" s="706" t="s">
        <v>138</v>
      </c>
      <c r="F130" s="708">
        <v>36130</v>
      </c>
      <c r="G130" s="706" t="s">
        <v>550</v>
      </c>
      <c r="H130" s="709">
        <v>70619</v>
      </c>
      <c r="I130" s="710" t="s">
        <v>323</v>
      </c>
      <c r="J130" s="711" t="s">
        <v>551</v>
      </c>
      <c r="K130" s="725"/>
      <c r="L130" s="706" t="s">
        <v>552</v>
      </c>
      <c r="M130" s="713">
        <v>14554</v>
      </c>
      <c r="N130" s="714"/>
      <c r="O130" s="714">
        <v>21.076000000000001</v>
      </c>
      <c r="P130" s="714">
        <v>19.808</v>
      </c>
      <c r="Q130" s="714">
        <v>10.725</v>
      </c>
      <c r="R130" s="714">
        <v>0.25</v>
      </c>
      <c r="S130" s="714">
        <v>82.132999999999996</v>
      </c>
      <c r="T130" s="714">
        <v>78.807000000000002</v>
      </c>
      <c r="U130" s="714">
        <v>65.911000000000001</v>
      </c>
      <c r="V130" s="714">
        <v>59.039000000000001</v>
      </c>
      <c r="W130" s="714">
        <v>43.783000000000001</v>
      </c>
      <c r="X130" s="714">
        <v>33.478000000000002</v>
      </c>
      <c r="Y130" s="714">
        <v>23.661999999999999</v>
      </c>
      <c r="Z130" s="714">
        <v>0.05</v>
      </c>
      <c r="AA130" s="714">
        <v>69.623999999999995</v>
      </c>
      <c r="AB130" s="714">
        <v>62.81</v>
      </c>
      <c r="AC130" s="704">
        <v>55.47</v>
      </c>
      <c r="AD130" s="704">
        <v>41.46</v>
      </c>
      <c r="AE130" s="704">
        <v>26.83</v>
      </c>
      <c r="AF130" s="715">
        <v>15.68</v>
      </c>
      <c r="AG130" s="704"/>
      <c r="AH130" s="715"/>
      <c r="AI130" s="715"/>
      <c r="AJ130" s="716"/>
      <c r="AK130" s="704"/>
      <c r="AL130" s="717">
        <f t="shared" si="58"/>
        <v>1.2680000000000007</v>
      </c>
      <c r="AM130" s="718">
        <v>2.5099999999999998</v>
      </c>
      <c r="AN130" s="718">
        <v>2.4700000000000002</v>
      </c>
      <c r="AO130" s="718">
        <f t="shared" si="48"/>
        <v>4.3492400000000027</v>
      </c>
      <c r="AP130" s="718">
        <f t="shared" si="61"/>
        <v>9.3292400000000022</v>
      </c>
      <c r="AQ130" s="719">
        <v>4.5999999999999996</v>
      </c>
      <c r="AR130" s="719">
        <v>3.9999999999999996</v>
      </c>
      <c r="AS130" s="716">
        <v>28</v>
      </c>
      <c r="AT130" s="716">
        <v>0.6</v>
      </c>
      <c r="AU130" s="716">
        <v>28</v>
      </c>
      <c r="AV130" s="716">
        <f t="shared" si="65"/>
        <v>16.8</v>
      </c>
      <c r="AW130" s="716">
        <f t="shared" si="66"/>
        <v>111.99999999999999</v>
      </c>
      <c r="AX130" s="716">
        <f t="shared" si="68"/>
        <v>128.79999999999998</v>
      </c>
      <c r="AY130" s="716">
        <f t="shared" si="67"/>
        <v>0</v>
      </c>
      <c r="AZ130" s="716">
        <v>100</v>
      </c>
      <c r="BA130" s="716"/>
      <c r="BB130" s="720">
        <v>5000</v>
      </c>
      <c r="BC130" s="716">
        <v>25</v>
      </c>
      <c r="BD130" s="716">
        <v>10</v>
      </c>
      <c r="BE130" s="716">
        <v>80</v>
      </c>
      <c r="BF130" s="716"/>
      <c r="BG130" s="716"/>
      <c r="BH130" s="716"/>
      <c r="BI130" s="716"/>
      <c r="BJ130" s="744"/>
      <c r="BK130" s="744"/>
      <c r="BL130" s="744"/>
      <c r="BM130" s="745"/>
      <c r="BN130" s="722">
        <f t="shared" si="62"/>
        <v>353.12923999999998</v>
      </c>
      <c r="BO130" s="708"/>
      <c r="BP130" s="708"/>
      <c r="BQ130" s="724"/>
      <c r="BR130" s="703">
        <f t="shared" si="69"/>
        <v>399.99999999999994</v>
      </c>
      <c r="BS130" s="703">
        <f t="shared" si="70"/>
        <v>282</v>
      </c>
    </row>
    <row r="131" spans="1:71" s="726" customFormat="1">
      <c r="A131" s="704" t="s">
        <v>93</v>
      </c>
      <c r="B131" s="705">
        <v>64</v>
      </c>
      <c r="C131" s="706"/>
      <c r="D131" s="707" t="s">
        <v>249</v>
      </c>
      <c r="E131" s="706" t="s">
        <v>178</v>
      </c>
      <c r="F131" s="708">
        <v>42826</v>
      </c>
      <c r="G131" s="706" t="s">
        <v>553</v>
      </c>
      <c r="H131" s="709">
        <v>70182</v>
      </c>
      <c r="I131" s="710" t="s">
        <v>323</v>
      </c>
      <c r="J131" s="711">
        <v>50439629</v>
      </c>
      <c r="K131" s="725" t="s">
        <v>554</v>
      </c>
      <c r="L131" s="706" t="s">
        <v>555</v>
      </c>
      <c r="M131" s="713">
        <v>42786</v>
      </c>
      <c r="N131" s="714"/>
      <c r="O131" s="714">
        <v>20.135999999999999</v>
      </c>
      <c r="P131" s="714">
        <v>18.099</v>
      </c>
      <c r="Q131" s="714">
        <v>9.0709999999999997</v>
      </c>
      <c r="R131" s="714">
        <v>0.25</v>
      </c>
      <c r="S131" s="714">
        <v>35.484999999999999</v>
      </c>
      <c r="T131" s="714">
        <v>32.146999999999998</v>
      </c>
      <c r="U131" s="714">
        <v>22.321000000000002</v>
      </c>
      <c r="V131" s="714">
        <v>19.556000000000001</v>
      </c>
      <c r="W131" s="714">
        <v>11.09</v>
      </c>
      <c r="X131" s="714">
        <v>6.3810000000000002</v>
      </c>
      <c r="Y131" s="714">
        <v>6.2370000000000001</v>
      </c>
      <c r="Z131" s="714">
        <v>0.05</v>
      </c>
      <c r="AA131" s="714">
        <v>24.64</v>
      </c>
      <c r="AB131" s="714">
        <v>20.67</v>
      </c>
      <c r="AC131" s="704">
        <v>18.899999999999999</v>
      </c>
      <c r="AD131" s="704">
        <v>16.100000000000001</v>
      </c>
      <c r="AE131" s="704">
        <v>9.93</v>
      </c>
      <c r="AF131" s="715">
        <v>6.77</v>
      </c>
      <c r="AG131" s="704"/>
      <c r="AH131" s="715"/>
      <c r="AI131" s="715"/>
      <c r="AJ131" s="716"/>
      <c r="AK131" s="704"/>
      <c r="AL131" s="717">
        <f t="shared" si="58"/>
        <v>2.036999999999999</v>
      </c>
      <c r="AM131" s="718">
        <v>2.5099999999999998</v>
      </c>
      <c r="AN131" s="718">
        <v>2.4700000000000002</v>
      </c>
      <c r="AO131" s="718">
        <f t="shared" si="48"/>
        <v>6.9869099999999973</v>
      </c>
      <c r="AP131" s="718">
        <f t="shared" si="61"/>
        <v>11.966909999999999</v>
      </c>
      <c r="AQ131" s="719">
        <v>4.5999999999999996</v>
      </c>
      <c r="AR131" s="719">
        <v>3.9999999999999996</v>
      </c>
      <c r="AS131" s="716">
        <v>28</v>
      </c>
      <c r="AT131" s="716">
        <v>0.6</v>
      </c>
      <c r="AU131" s="716">
        <v>28</v>
      </c>
      <c r="AV131" s="716">
        <f t="shared" si="65"/>
        <v>16.8</v>
      </c>
      <c r="AW131" s="716">
        <f t="shared" si="66"/>
        <v>111.99999999999999</v>
      </c>
      <c r="AX131" s="716">
        <f t="shared" si="68"/>
        <v>128.79999999999998</v>
      </c>
      <c r="AY131" s="716">
        <f t="shared" si="67"/>
        <v>0</v>
      </c>
      <c r="AZ131" s="716">
        <v>100</v>
      </c>
      <c r="BA131" s="716">
        <v>32.5</v>
      </c>
      <c r="BB131" s="720">
        <v>5000</v>
      </c>
      <c r="BC131" s="716">
        <v>25</v>
      </c>
      <c r="BD131" s="716">
        <v>10</v>
      </c>
      <c r="BE131" s="716">
        <v>80</v>
      </c>
      <c r="BF131" s="716"/>
      <c r="BG131" s="716"/>
      <c r="BH131" s="716"/>
      <c r="BI131" s="716"/>
      <c r="BJ131" s="744"/>
      <c r="BK131" s="744"/>
      <c r="BL131" s="744"/>
      <c r="BM131" s="745"/>
      <c r="BN131" s="722">
        <f t="shared" si="62"/>
        <v>388.26691</v>
      </c>
      <c r="BO131" s="708"/>
      <c r="BP131" s="708"/>
      <c r="BQ131" s="724"/>
      <c r="BR131" s="703">
        <f t="shared" si="69"/>
        <v>399.99999999999994</v>
      </c>
      <c r="BS131" s="703">
        <f t="shared" si="70"/>
        <v>283</v>
      </c>
    </row>
    <row r="132" spans="1:71" s="726" customFormat="1">
      <c r="A132" s="704" t="s">
        <v>93</v>
      </c>
      <c r="B132" s="705">
        <v>65</v>
      </c>
      <c r="C132" s="706"/>
      <c r="D132" s="707" t="s">
        <v>139</v>
      </c>
      <c r="E132" s="706" t="s">
        <v>87</v>
      </c>
      <c r="F132" s="708">
        <v>34881</v>
      </c>
      <c r="G132" s="706" t="s">
        <v>556</v>
      </c>
      <c r="H132" s="709">
        <v>73760</v>
      </c>
      <c r="I132" s="710" t="s">
        <v>340</v>
      </c>
      <c r="J132" s="711" t="s">
        <v>557</v>
      </c>
      <c r="K132" s="725"/>
      <c r="L132" s="706" t="s">
        <v>558</v>
      </c>
      <c r="M132" s="713">
        <v>22628</v>
      </c>
      <c r="N132" s="714"/>
      <c r="O132" s="714">
        <v>10.944000000000001</v>
      </c>
      <c r="P132" s="714">
        <v>10.733000000000001</v>
      </c>
      <c r="Q132" s="714">
        <v>5.3949999999999996</v>
      </c>
      <c r="R132" s="714">
        <v>0.25</v>
      </c>
      <c r="S132" s="714">
        <v>13.734</v>
      </c>
      <c r="T132" s="714">
        <v>13.083</v>
      </c>
      <c r="U132" s="714">
        <v>10.772</v>
      </c>
      <c r="V132" s="714">
        <v>9.8849999999999998</v>
      </c>
      <c r="W132" s="714">
        <v>7.2930000000000001</v>
      </c>
      <c r="X132" s="714">
        <v>5.3460000000000001</v>
      </c>
      <c r="Y132" s="714">
        <v>5.15</v>
      </c>
      <c r="Z132" s="714">
        <v>0.05</v>
      </c>
      <c r="AA132" s="714">
        <v>7.2809999999999997</v>
      </c>
      <c r="AB132" s="714">
        <v>6.06</v>
      </c>
      <c r="AC132" s="704">
        <v>4.53</v>
      </c>
      <c r="AD132" s="704">
        <v>4.4400000000000004</v>
      </c>
      <c r="AE132" s="704">
        <v>2.33</v>
      </c>
      <c r="AF132" s="715">
        <v>1.52</v>
      </c>
      <c r="AG132" s="704"/>
      <c r="AH132" s="715"/>
      <c r="AI132" s="715"/>
      <c r="AJ132" s="716"/>
      <c r="AK132" s="704"/>
      <c r="AL132" s="717">
        <f t="shared" si="58"/>
        <v>0.2110000000000003</v>
      </c>
      <c r="AM132" s="718">
        <v>2.5099999999999998</v>
      </c>
      <c r="AN132" s="718">
        <v>2.4700000000000002</v>
      </c>
      <c r="AO132" s="718">
        <f t="shared" si="48"/>
        <v>0.72373000000000109</v>
      </c>
      <c r="AP132" s="718">
        <f t="shared" si="61"/>
        <v>5.703730000000002</v>
      </c>
      <c r="AQ132" s="719">
        <v>4.5999999999999996</v>
      </c>
      <c r="AR132" s="719">
        <v>3.9999999999999996</v>
      </c>
      <c r="AS132" s="716">
        <v>28</v>
      </c>
      <c r="AT132" s="716">
        <v>0.6</v>
      </c>
      <c r="AU132" s="716">
        <v>28</v>
      </c>
      <c r="AV132" s="716">
        <f t="shared" si="65"/>
        <v>16.8</v>
      </c>
      <c r="AW132" s="716">
        <f t="shared" si="66"/>
        <v>111.99999999999999</v>
      </c>
      <c r="AX132" s="716">
        <f t="shared" si="68"/>
        <v>128.79999999999998</v>
      </c>
      <c r="AY132" s="716">
        <f t="shared" si="67"/>
        <v>0</v>
      </c>
      <c r="AZ132" s="716">
        <v>100</v>
      </c>
      <c r="BA132" s="716">
        <v>32.5</v>
      </c>
      <c r="BB132" s="720">
        <v>5000</v>
      </c>
      <c r="BC132" s="716">
        <v>25</v>
      </c>
      <c r="BD132" s="716">
        <v>10</v>
      </c>
      <c r="BE132" s="716">
        <v>80</v>
      </c>
      <c r="BF132" s="716"/>
      <c r="BG132" s="716"/>
      <c r="BH132" s="716"/>
      <c r="BI132" s="716"/>
      <c r="BJ132" s="744"/>
      <c r="BK132" s="744"/>
      <c r="BL132" s="744"/>
      <c r="BM132" s="745"/>
      <c r="BN132" s="722">
        <f t="shared" si="62"/>
        <v>382.00373000000002</v>
      </c>
      <c r="BO132" s="708"/>
      <c r="BP132" s="708"/>
      <c r="BQ132" s="724"/>
      <c r="BR132" s="703">
        <f t="shared" si="69"/>
        <v>399.99999999999994</v>
      </c>
      <c r="BS132" s="703">
        <f t="shared" si="70"/>
        <v>284</v>
      </c>
    </row>
    <row r="133" spans="1:71" s="726" customFormat="1">
      <c r="A133" s="704" t="s">
        <v>93</v>
      </c>
      <c r="B133" s="705">
        <v>66</v>
      </c>
      <c r="C133" s="706"/>
      <c r="D133" s="707" t="s">
        <v>177</v>
      </c>
      <c r="E133" s="706" t="s">
        <v>178</v>
      </c>
      <c r="F133" s="708">
        <v>41609</v>
      </c>
      <c r="G133" s="706" t="s">
        <v>703</v>
      </c>
      <c r="H133" s="709">
        <v>70619</v>
      </c>
      <c r="I133" s="710" t="s">
        <v>323</v>
      </c>
      <c r="J133" s="711">
        <v>51860633</v>
      </c>
      <c r="K133" s="712"/>
      <c r="L133" s="706" t="s">
        <v>832</v>
      </c>
      <c r="M133" s="713"/>
      <c r="N133" s="714"/>
      <c r="O133" s="714">
        <v>21.195</v>
      </c>
      <c r="P133" s="714">
        <v>20.184000000000001</v>
      </c>
      <c r="Q133" s="726">
        <v>3.492</v>
      </c>
      <c r="R133" s="714">
        <v>0.25</v>
      </c>
      <c r="S133" s="714">
        <v>24.736999999999998</v>
      </c>
      <c r="T133" s="714">
        <v>22.324000000000002</v>
      </c>
      <c r="U133" s="714">
        <v>16.279</v>
      </c>
      <c r="V133" s="714">
        <v>14.702</v>
      </c>
      <c r="W133" s="714">
        <v>6.2530000000000001</v>
      </c>
      <c r="X133" s="714">
        <v>3.5750000000000002</v>
      </c>
      <c r="Y133" s="714">
        <v>1.8959999999999999</v>
      </c>
      <c r="Z133" s="714">
        <v>0.05</v>
      </c>
      <c r="AA133" s="714">
        <v>47.732999999999997</v>
      </c>
      <c r="AB133" s="714">
        <v>45.05</v>
      </c>
      <c r="AC133" s="704">
        <v>45.05</v>
      </c>
      <c r="AD133" s="704">
        <v>24.61</v>
      </c>
      <c r="AE133" s="704">
        <v>10.26</v>
      </c>
      <c r="AF133" s="715">
        <v>3.12</v>
      </c>
      <c r="AG133" s="704"/>
      <c r="AH133" s="715"/>
      <c r="AI133" s="715"/>
      <c r="AJ133" s="716"/>
      <c r="AK133" s="704"/>
      <c r="AL133" s="717">
        <f t="shared" si="58"/>
        <v>1.0109999999999992</v>
      </c>
      <c r="AM133" s="718">
        <v>2.5099999999999998</v>
      </c>
      <c r="AN133" s="718">
        <v>2.4700000000000002</v>
      </c>
      <c r="AO133" s="718">
        <f t="shared" si="48"/>
        <v>3.4677299999999973</v>
      </c>
      <c r="AP133" s="718">
        <f t="shared" si="61"/>
        <v>8.4477299999999982</v>
      </c>
      <c r="AQ133" s="719">
        <v>4.5999999999999996</v>
      </c>
      <c r="AR133" s="719">
        <v>3.9999999999999996</v>
      </c>
      <c r="AS133" s="716">
        <v>28</v>
      </c>
      <c r="AT133" s="716">
        <v>0.6</v>
      </c>
      <c r="AU133" s="716">
        <v>28</v>
      </c>
      <c r="AV133" s="716">
        <f t="shared" si="65"/>
        <v>16.8</v>
      </c>
      <c r="AW133" s="716">
        <f t="shared" si="66"/>
        <v>111.99999999999999</v>
      </c>
      <c r="AX133" s="716">
        <f t="shared" si="68"/>
        <v>128.79999999999998</v>
      </c>
      <c r="AY133" s="716">
        <f t="shared" si="67"/>
        <v>0</v>
      </c>
      <c r="AZ133" s="716">
        <v>100</v>
      </c>
      <c r="BA133" s="716"/>
      <c r="BB133" s="720">
        <v>5000</v>
      </c>
      <c r="BC133" s="716">
        <v>25</v>
      </c>
      <c r="BD133" s="716">
        <v>10</v>
      </c>
      <c r="BE133" s="716">
        <v>80</v>
      </c>
      <c r="BF133" s="716"/>
      <c r="BG133" s="716"/>
      <c r="BH133" s="716"/>
      <c r="BI133" s="716"/>
      <c r="BJ133" s="744"/>
      <c r="BK133" s="744"/>
      <c r="BL133" s="744"/>
      <c r="BM133" s="745"/>
      <c r="BN133" s="722">
        <f t="shared" si="62"/>
        <v>352.24772999999999</v>
      </c>
      <c r="BO133" s="708"/>
      <c r="BP133" s="708"/>
      <c r="BQ133" s="724"/>
      <c r="BR133" s="703">
        <f t="shared" si="69"/>
        <v>399.99999999999994</v>
      </c>
      <c r="BS133" s="703">
        <f t="shared" si="70"/>
        <v>285</v>
      </c>
    </row>
    <row r="134" spans="1:71" s="726" customFormat="1">
      <c r="A134" s="704" t="s">
        <v>93</v>
      </c>
      <c r="B134" s="705">
        <v>67</v>
      </c>
      <c r="C134" s="706"/>
      <c r="D134" s="707" t="s">
        <v>179</v>
      </c>
      <c r="E134" s="706" t="s">
        <v>180</v>
      </c>
      <c r="F134" s="708">
        <v>41609</v>
      </c>
      <c r="G134" s="706" t="s">
        <v>559</v>
      </c>
      <c r="H134" s="709">
        <v>70619</v>
      </c>
      <c r="I134" s="710" t="s">
        <v>323</v>
      </c>
      <c r="J134" s="711">
        <v>2538942</v>
      </c>
      <c r="K134" s="725"/>
      <c r="L134" s="706" t="s">
        <v>560</v>
      </c>
      <c r="M134" s="713">
        <v>28375</v>
      </c>
      <c r="N134" s="714"/>
      <c r="O134" s="714">
        <v>4.6609999999999996</v>
      </c>
      <c r="P134" s="714">
        <v>4.2370000000000001</v>
      </c>
      <c r="Q134" s="714">
        <v>2.387</v>
      </c>
      <c r="R134" s="714">
        <v>0.25</v>
      </c>
      <c r="S134" s="714">
        <v>10.308</v>
      </c>
      <c r="T134" s="714">
        <v>10.303000000000001</v>
      </c>
      <c r="U134" s="714">
        <v>9.3239999999999998</v>
      </c>
      <c r="V134" s="714">
        <v>8.9770000000000003</v>
      </c>
      <c r="W134" s="714">
        <v>7.6369999999999996</v>
      </c>
      <c r="X134" s="714">
        <v>6.641</v>
      </c>
      <c r="Y134" s="714">
        <v>6.1120000000000001</v>
      </c>
      <c r="Z134" s="714">
        <v>0.05</v>
      </c>
      <c r="AA134" s="714">
        <v>18.359000000000002</v>
      </c>
      <c r="AB134" s="714">
        <v>15.44</v>
      </c>
      <c r="AC134" s="704">
        <v>14.99</v>
      </c>
      <c r="AD134" s="704">
        <v>11.84</v>
      </c>
      <c r="AE134" s="704">
        <v>8.2799999999999994</v>
      </c>
      <c r="AF134" s="715">
        <v>3.8</v>
      </c>
      <c r="AG134" s="704"/>
      <c r="AH134" s="715"/>
      <c r="AI134" s="715"/>
      <c r="AJ134" s="716"/>
      <c r="AK134" s="704"/>
      <c r="AL134" s="717">
        <f t="shared" si="58"/>
        <v>0.42399999999999949</v>
      </c>
      <c r="AM134" s="718">
        <v>2.5099999999999998</v>
      </c>
      <c r="AN134" s="718">
        <v>2.4700000000000002</v>
      </c>
      <c r="AO134" s="718">
        <f t="shared" si="48"/>
        <v>1.4543199999999983</v>
      </c>
      <c r="AP134" s="718">
        <f t="shared" si="61"/>
        <v>6.4343199999999987</v>
      </c>
      <c r="AQ134" s="719">
        <v>4.5999999999999996</v>
      </c>
      <c r="AR134" s="719">
        <v>3.9999999999999996</v>
      </c>
      <c r="AS134" s="716">
        <v>28</v>
      </c>
      <c r="AT134" s="716">
        <v>0.6</v>
      </c>
      <c r="AU134" s="716">
        <v>28</v>
      </c>
      <c r="AV134" s="716">
        <f t="shared" si="65"/>
        <v>16.8</v>
      </c>
      <c r="AW134" s="716">
        <f t="shared" si="66"/>
        <v>111.99999999999999</v>
      </c>
      <c r="AX134" s="716">
        <f t="shared" si="68"/>
        <v>128.79999999999998</v>
      </c>
      <c r="AY134" s="716">
        <f t="shared" si="67"/>
        <v>0</v>
      </c>
      <c r="AZ134" s="716">
        <v>100</v>
      </c>
      <c r="BA134" s="716"/>
      <c r="BB134" s="720">
        <v>9000</v>
      </c>
      <c r="BC134" s="716">
        <v>42</v>
      </c>
      <c r="BD134" s="716">
        <v>10</v>
      </c>
      <c r="BE134" s="716">
        <v>80</v>
      </c>
      <c r="BF134" s="716"/>
      <c r="BG134" s="716"/>
      <c r="BH134" s="716"/>
      <c r="BI134" s="716"/>
      <c r="BJ134" s="744"/>
      <c r="BK134" s="744"/>
      <c r="BL134" s="744"/>
      <c r="BM134" s="745"/>
      <c r="BN134" s="722">
        <f t="shared" si="62"/>
        <v>367.23432000000003</v>
      </c>
      <c r="BO134" s="708"/>
      <c r="BP134" s="708"/>
      <c r="BQ134" s="724"/>
      <c r="BR134" s="703">
        <f t="shared" si="69"/>
        <v>399.99999999999994</v>
      </c>
      <c r="BS134" s="703">
        <f t="shared" si="70"/>
        <v>286</v>
      </c>
    </row>
    <row r="135" spans="1:71" s="726" customFormat="1">
      <c r="A135" s="704" t="s">
        <v>93</v>
      </c>
      <c r="B135" s="705">
        <v>68</v>
      </c>
      <c r="C135" s="706"/>
      <c r="D135" s="707" t="s">
        <v>140</v>
      </c>
      <c r="E135" s="706" t="s">
        <v>141</v>
      </c>
      <c r="F135" s="708">
        <v>39873</v>
      </c>
      <c r="G135" s="706" t="s">
        <v>561</v>
      </c>
      <c r="H135" s="709">
        <v>73760</v>
      </c>
      <c r="I135" s="710" t="s">
        <v>340</v>
      </c>
      <c r="J135" s="711">
        <v>844299</v>
      </c>
      <c r="K135" s="747"/>
      <c r="L135" s="706" t="s">
        <v>562</v>
      </c>
      <c r="M135" s="713">
        <v>23091</v>
      </c>
      <c r="N135" s="714"/>
      <c r="O135" s="714">
        <v>15.188000000000001</v>
      </c>
      <c r="P135" s="714">
        <v>11.311999999999999</v>
      </c>
      <c r="Q135" s="714">
        <v>5.3280000000000003</v>
      </c>
      <c r="R135" s="714">
        <v>0.25</v>
      </c>
      <c r="S135" s="714">
        <v>15.089</v>
      </c>
      <c r="T135" s="714">
        <v>12.128</v>
      </c>
      <c r="U135" s="714">
        <v>8.32</v>
      </c>
      <c r="V135" s="714">
        <v>7.3</v>
      </c>
      <c r="W135" s="714">
        <v>5.7439999999999998</v>
      </c>
      <c r="X135" s="714">
        <v>4.1379999999999999</v>
      </c>
      <c r="Y135" s="714">
        <v>1.7949999999999999</v>
      </c>
      <c r="Z135" s="714">
        <v>0.05</v>
      </c>
      <c r="AA135" s="714">
        <v>11.738</v>
      </c>
      <c r="AB135" s="714">
        <v>10.42</v>
      </c>
      <c r="AC135" s="704">
        <v>8.2799999999999994</v>
      </c>
      <c r="AD135" s="704">
        <v>7.19</v>
      </c>
      <c r="AE135" s="704">
        <v>5.85</v>
      </c>
      <c r="AF135" s="715">
        <v>4.45</v>
      </c>
      <c r="AG135" s="704"/>
      <c r="AH135" s="715"/>
      <c r="AI135" s="715"/>
      <c r="AJ135" s="716"/>
      <c r="AK135" s="704"/>
      <c r="AL135" s="717">
        <f t="shared" si="58"/>
        <v>3.8760000000000012</v>
      </c>
      <c r="AM135" s="718">
        <v>2.5099999999999998</v>
      </c>
      <c r="AN135" s="718">
        <v>2.4700000000000002</v>
      </c>
      <c r="AO135" s="718">
        <f t="shared" si="48"/>
        <v>13.294680000000005</v>
      </c>
      <c r="AP135" s="718">
        <f t="shared" si="61"/>
        <v>18.274680000000004</v>
      </c>
      <c r="AQ135" s="719">
        <v>4.5999999999999996</v>
      </c>
      <c r="AR135" s="719">
        <v>3.9999999999999996</v>
      </c>
      <c r="AS135" s="716">
        <v>28</v>
      </c>
      <c r="AT135" s="716">
        <v>0.6</v>
      </c>
      <c r="AU135" s="716">
        <v>28</v>
      </c>
      <c r="AV135" s="716">
        <f t="shared" si="65"/>
        <v>16.8</v>
      </c>
      <c r="AW135" s="716">
        <f t="shared" si="66"/>
        <v>111.99999999999999</v>
      </c>
      <c r="AX135" s="716">
        <f t="shared" si="68"/>
        <v>128.79999999999998</v>
      </c>
      <c r="AY135" s="716">
        <f t="shared" si="67"/>
        <v>0</v>
      </c>
      <c r="AZ135" s="716">
        <v>100</v>
      </c>
      <c r="BA135" s="716"/>
      <c r="BB135" s="720">
        <v>8000</v>
      </c>
      <c r="BC135" s="716">
        <v>37.5</v>
      </c>
      <c r="BD135" s="716">
        <v>10</v>
      </c>
      <c r="BE135" s="716">
        <v>80</v>
      </c>
      <c r="BF135" s="716"/>
      <c r="BG135" s="716"/>
      <c r="BH135" s="716"/>
      <c r="BI135" s="716"/>
      <c r="BJ135" s="744"/>
      <c r="BK135" s="744"/>
      <c r="BL135" s="744" t="e">
        <f>780-#REF!</f>
        <v>#REF!</v>
      </c>
      <c r="BM135" s="745"/>
      <c r="BN135" s="722" t="e">
        <f t="shared" si="62"/>
        <v>#REF!</v>
      </c>
      <c r="BO135" s="708"/>
      <c r="BP135" s="708"/>
      <c r="BQ135" s="724"/>
      <c r="BR135" s="703">
        <f t="shared" si="69"/>
        <v>399.99999999999994</v>
      </c>
      <c r="BS135" s="703">
        <f t="shared" si="70"/>
        <v>287</v>
      </c>
    </row>
    <row r="136" spans="1:71" s="726" customFormat="1">
      <c r="A136" s="704" t="s">
        <v>93</v>
      </c>
      <c r="B136" s="705">
        <v>69</v>
      </c>
      <c r="C136" s="706"/>
      <c r="D136" s="707" t="s">
        <v>142</v>
      </c>
      <c r="E136" s="706" t="s">
        <v>231</v>
      </c>
      <c r="F136" s="708">
        <v>42156</v>
      </c>
      <c r="G136" s="706" t="s">
        <v>563</v>
      </c>
      <c r="H136" s="709">
        <v>70184</v>
      </c>
      <c r="I136" s="710" t="s">
        <v>323</v>
      </c>
      <c r="J136" s="711" t="s">
        <v>564</v>
      </c>
      <c r="K136" s="725"/>
      <c r="L136" s="706" t="s">
        <v>565</v>
      </c>
      <c r="M136" s="713">
        <v>15224</v>
      </c>
      <c r="N136" s="714"/>
      <c r="O136" s="714">
        <v>18.789000000000001</v>
      </c>
      <c r="P136" s="714">
        <v>14.356</v>
      </c>
      <c r="Q136" s="714">
        <v>5.6719999999999997</v>
      </c>
      <c r="R136" s="714">
        <v>0.25</v>
      </c>
      <c r="S136" s="714">
        <v>42.018000000000001</v>
      </c>
      <c r="T136" s="714">
        <v>39.628</v>
      </c>
      <c r="U136" s="714">
        <v>33.39</v>
      </c>
      <c r="V136" s="714">
        <v>30.148</v>
      </c>
      <c r="W136" s="714">
        <v>22.928000000000001</v>
      </c>
      <c r="X136" s="714">
        <v>17.565999999999999</v>
      </c>
      <c r="Y136" s="714">
        <v>10.56</v>
      </c>
      <c r="Z136" s="714">
        <v>0.05</v>
      </c>
      <c r="AA136" s="714">
        <v>39.491</v>
      </c>
      <c r="AB136" s="714">
        <v>34.770000000000003</v>
      </c>
      <c r="AC136" s="704">
        <v>29.02</v>
      </c>
      <c r="AD136" s="704">
        <v>23.35</v>
      </c>
      <c r="AE136" s="704">
        <v>17.899999999999999</v>
      </c>
      <c r="AF136" s="715">
        <v>9.49</v>
      </c>
      <c r="AG136" s="704"/>
      <c r="AH136" s="715"/>
      <c r="AI136" s="715"/>
      <c r="AJ136" s="716"/>
      <c r="AK136" s="704"/>
      <c r="AL136" s="717">
        <f t="shared" si="58"/>
        <v>4.4330000000000016</v>
      </c>
      <c r="AM136" s="718">
        <v>2.5099999999999998</v>
      </c>
      <c r="AN136" s="718">
        <v>2.4700000000000002</v>
      </c>
      <c r="AO136" s="718">
        <f t="shared" si="48"/>
        <v>15.205190000000007</v>
      </c>
      <c r="AP136" s="718">
        <f t="shared" si="61"/>
        <v>20.185190000000006</v>
      </c>
      <c r="AR136" s="859">
        <v>4</v>
      </c>
      <c r="BE136" s="716"/>
      <c r="BF136" s="716"/>
      <c r="BG136" s="716"/>
      <c r="BH136" s="716"/>
      <c r="BI136" s="716">
        <v>60</v>
      </c>
      <c r="BJ136" s="744"/>
      <c r="BK136" s="744" t="s">
        <v>1048</v>
      </c>
      <c r="BL136" s="744">
        <v>268.62</v>
      </c>
      <c r="BM136" s="745">
        <v>120</v>
      </c>
      <c r="BN136" s="722">
        <f t="shared" si="62"/>
        <v>468.80519000000004</v>
      </c>
      <c r="BO136" s="708"/>
      <c r="BP136" s="708"/>
      <c r="BQ136" s="724"/>
      <c r="BR136" s="703">
        <f t="shared" si="69"/>
        <v>400</v>
      </c>
      <c r="BS136" s="703">
        <f t="shared" si="70"/>
        <v>288</v>
      </c>
    </row>
    <row r="137" spans="1:71" s="726" customFormat="1">
      <c r="A137" s="704" t="s">
        <v>93</v>
      </c>
      <c r="B137" s="705">
        <v>70</v>
      </c>
      <c r="C137" s="706"/>
      <c r="D137" s="707" t="s">
        <v>1018</v>
      </c>
      <c r="E137" s="706"/>
      <c r="F137" s="708">
        <v>45627</v>
      </c>
      <c r="G137" s="706"/>
      <c r="H137" s="709"/>
      <c r="I137" s="710"/>
      <c r="J137" s="711"/>
      <c r="K137" s="725"/>
      <c r="L137" s="706"/>
      <c r="M137" s="713"/>
      <c r="N137" s="714"/>
      <c r="O137" s="714"/>
      <c r="P137" s="714"/>
      <c r="Q137" s="714"/>
      <c r="R137" s="714"/>
      <c r="S137" s="714"/>
      <c r="T137" s="714"/>
      <c r="U137" s="714"/>
      <c r="V137" s="714"/>
      <c r="W137" s="714"/>
      <c r="X137" s="714"/>
      <c r="Y137" s="714"/>
      <c r="Z137" s="714"/>
      <c r="AA137" s="714"/>
      <c r="AB137" s="714"/>
      <c r="AC137" s="704"/>
      <c r="AD137" s="704"/>
      <c r="AE137" s="704"/>
      <c r="AF137" s="715"/>
      <c r="AG137" s="704"/>
      <c r="AH137" s="715"/>
      <c r="AI137" s="715"/>
      <c r="AJ137" s="716"/>
      <c r="AK137" s="704"/>
      <c r="AL137" s="717"/>
      <c r="AM137" s="718"/>
      <c r="AN137" s="718"/>
      <c r="AO137" s="718">
        <f t="shared" ref="AO137:AO154" si="71">3.43*AL137</f>
        <v>0</v>
      </c>
      <c r="AP137" s="718">
        <f t="shared" si="61"/>
        <v>0</v>
      </c>
      <c r="AQ137" s="719">
        <v>3.6</v>
      </c>
      <c r="AR137" s="719">
        <v>3</v>
      </c>
      <c r="AS137" s="716">
        <v>21</v>
      </c>
      <c r="AT137" s="716">
        <v>0.6</v>
      </c>
      <c r="AU137" s="716">
        <v>28</v>
      </c>
      <c r="AV137" s="716">
        <f>AT137*AU137+1.4</f>
        <v>18.2</v>
      </c>
      <c r="AW137" s="716">
        <f>AR137*AS137+5.25</f>
        <v>68.25</v>
      </c>
      <c r="AX137" s="716">
        <f t="shared" ref="AX137" si="72">AQ137*AS137</f>
        <v>75.600000000000009</v>
      </c>
      <c r="AY137" s="716">
        <f t="shared" ref="AY137" si="73">AX137-(AV137+AW137)</f>
        <v>-10.849999999999994</v>
      </c>
      <c r="AZ137" s="716">
        <f>100+8.35</f>
        <v>108.35</v>
      </c>
      <c r="BA137" s="716"/>
      <c r="BB137" s="720">
        <v>10000</v>
      </c>
      <c r="BC137" s="716">
        <v>52</v>
      </c>
      <c r="BD137" s="716">
        <v>10</v>
      </c>
      <c r="BE137" s="716">
        <v>80</v>
      </c>
      <c r="BF137" s="716"/>
      <c r="BG137" s="716"/>
      <c r="BH137" s="716">
        <v>150</v>
      </c>
      <c r="BI137" s="716"/>
      <c r="BJ137" s="744"/>
      <c r="BK137" s="744" t="s">
        <v>1048</v>
      </c>
      <c r="BL137" s="744">
        <v>49.9</v>
      </c>
      <c r="BM137" s="745"/>
      <c r="BN137" s="722">
        <f t="shared" si="62"/>
        <v>536.70000000000005</v>
      </c>
      <c r="BO137" s="708"/>
      <c r="BP137" s="708"/>
      <c r="BQ137" s="724"/>
      <c r="BR137" s="703">
        <f t="shared" si="69"/>
        <v>300</v>
      </c>
      <c r="BS137" s="703">
        <f t="shared" si="70"/>
        <v>289</v>
      </c>
    </row>
    <row r="138" spans="1:71" s="726" customFormat="1">
      <c r="A138" s="704" t="s">
        <v>93</v>
      </c>
      <c r="B138" s="705">
        <v>70</v>
      </c>
      <c r="C138" s="706" t="s">
        <v>78</v>
      </c>
      <c r="D138" s="707" t="s">
        <v>1058</v>
      </c>
      <c r="E138" s="706" t="s">
        <v>1043</v>
      </c>
      <c r="F138" s="708">
        <v>35735</v>
      </c>
      <c r="G138" s="706" t="s">
        <v>1044</v>
      </c>
      <c r="H138" s="709">
        <v>73765</v>
      </c>
      <c r="I138" s="710" t="s">
        <v>1045</v>
      </c>
      <c r="J138" s="711" t="s">
        <v>1046</v>
      </c>
      <c r="K138" s="725"/>
      <c r="L138" s="706" t="s">
        <v>1047</v>
      </c>
      <c r="M138" s="713">
        <v>21672</v>
      </c>
      <c r="N138" s="714"/>
      <c r="O138" s="726">
        <v>5.13</v>
      </c>
      <c r="P138" s="714">
        <v>5.1280000000000001</v>
      </c>
      <c r="AK138" s="704"/>
      <c r="AL138" s="714">
        <f t="shared" si="58"/>
        <v>1.9999999999997797E-3</v>
      </c>
      <c r="AM138" s="714">
        <v>2.5099999999999998</v>
      </c>
      <c r="AN138" s="714">
        <v>2.4700000000000002</v>
      </c>
      <c r="AO138" s="718">
        <f>3.43*AL138</f>
        <v>6.8599999999992452E-3</v>
      </c>
      <c r="AP138" s="718">
        <f t="shared" si="61"/>
        <v>4.9868600000000001</v>
      </c>
      <c r="AQ138" s="714">
        <v>3.6</v>
      </c>
      <c r="AR138" s="855">
        <v>3</v>
      </c>
      <c r="AS138" s="716">
        <v>21</v>
      </c>
      <c r="AT138" s="716">
        <v>0.6</v>
      </c>
      <c r="AU138" s="716">
        <v>28</v>
      </c>
      <c r="AV138" s="714">
        <f t="shared" ref="AV138" si="74">AT138*AU138</f>
        <v>16.8</v>
      </c>
      <c r="AW138" s="714">
        <f t="shared" ref="AW138" si="75">AR138*AS138</f>
        <v>63</v>
      </c>
      <c r="AX138" s="704">
        <v>63</v>
      </c>
      <c r="AY138" s="704">
        <v>75.599999999999994</v>
      </c>
      <c r="AZ138" s="716">
        <v>100</v>
      </c>
      <c r="BA138" s="715"/>
      <c r="BB138" s="720">
        <v>5000</v>
      </c>
      <c r="BC138" s="716">
        <v>25</v>
      </c>
      <c r="BD138" s="716">
        <v>10</v>
      </c>
      <c r="BE138" s="716">
        <v>80</v>
      </c>
      <c r="BF138" s="716"/>
      <c r="BG138" s="716"/>
      <c r="BH138" s="716"/>
      <c r="BI138" s="716"/>
      <c r="BJ138" s="744"/>
      <c r="BK138" s="744"/>
      <c r="BL138" s="744"/>
      <c r="BM138" s="745"/>
      <c r="BN138" s="722">
        <f t="shared" si="62"/>
        <v>299.78685999999999</v>
      </c>
      <c r="BO138" s="708"/>
      <c r="BP138" s="708"/>
      <c r="BQ138" s="724"/>
      <c r="BR138" s="703">
        <f t="shared" si="69"/>
        <v>300</v>
      </c>
      <c r="BS138" s="703">
        <f t="shared" si="70"/>
        <v>290</v>
      </c>
    </row>
    <row r="139" spans="1:71" s="726" customFormat="1">
      <c r="A139" s="704" t="s">
        <v>93</v>
      </c>
      <c r="B139" s="704">
        <v>71</v>
      </c>
      <c r="C139" s="706"/>
      <c r="D139" s="732" t="s">
        <v>1019</v>
      </c>
      <c r="E139" s="706" t="s">
        <v>1020</v>
      </c>
      <c r="F139" s="708">
        <v>45413</v>
      </c>
      <c r="G139" s="706" t="s">
        <v>1021</v>
      </c>
      <c r="H139" s="709">
        <v>70619</v>
      </c>
      <c r="I139" s="710" t="s">
        <v>323</v>
      </c>
      <c r="J139" s="711"/>
      <c r="K139" s="725" t="s">
        <v>1022</v>
      </c>
      <c r="L139" s="706" t="s">
        <v>1023</v>
      </c>
      <c r="M139" s="708">
        <v>30359</v>
      </c>
      <c r="N139" s="714" t="s">
        <v>1024</v>
      </c>
      <c r="O139" s="714">
        <v>36.795999999999999</v>
      </c>
      <c r="P139" s="714">
        <v>36.640999999999998</v>
      </c>
      <c r="Q139" s="714"/>
      <c r="R139" s="714"/>
      <c r="S139" s="714"/>
      <c r="T139" s="714"/>
      <c r="U139" s="714"/>
      <c r="V139" s="714"/>
      <c r="W139" s="714"/>
      <c r="X139" s="714"/>
      <c r="Y139" s="714"/>
      <c r="Z139" s="714"/>
      <c r="AA139" s="714"/>
      <c r="AB139" s="714"/>
      <c r="AC139" s="704"/>
      <c r="AD139" s="704"/>
      <c r="AE139" s="704"/>
      <c r="AF139" s="715"/>
      <c r="AG139" s="704"/>
      <c r="AH139" s="715"/>
      <c r="AI139" s="715"/>
      <c r="AJ139" s="716"/>
      <c r="AK139" s="704"/>
      <c r="AL139" s="717">
        <f t="shared" si="58"/>
        <v>0.15500000000000114</v>
      </c>
      <c r="AM139" s="718">
        <v>2.5099999999999998</v>
      </c>
      <c r="AN139" s="718">
        <v>2.4700000000000002</v>
      </c>
      <c r="AO139" s="718">
        <f t="shared" si="71"/>
        <v>0.53165000000000395</v>
      </c>
      <c r="AP139" s="718">
        <f t="shared" si="61"/>
        <v>5.5116500000000048</v>
      </c>
      <c r="AQ139" s="719">
        <v>4.5999999999999996</v>
      </c>
      <c r="AR139" s="719">
        <v>3.9999999999999996</v>
      </c>
      <c r="AS139" s="716">
        <v>21</v>
      </c>
      <c r="AT139" s="716">
        <v>0.6</v>
      </c>
      <c r="AU139" s="716">
        <v>28</v>
      </c>
      <c r="AV139" s="716">
        <f>(AT139*AU139)+((AT139*AU139)/12*7)</f>
        <v>26.6</v>
      </c>
      <c r="AW139" s="716">
        <f>(AR139*AS139)+(AR139*AS139)/12*7</f>
        <v>132.99999999999997</v>
      </c>
      <c r="AX139" s="716">
        <f t="shared" ref="AX139" si="76">AQ139*AS139</f>
        <v>96.6</v>
      </c>
      <c r="AY139" s="716">
        <f t="shared" ref="AY139" si="77">AX139-(AV139+AW139)</f>
        <v>-62.999999999999972</v>
      </c>
      <c r="AZ139" s="716">
        <v>200</v>
      </c>
      <c r="BA139" s="716"/>
      <c r="BB139" s="720">
        <v>10000</v>
      </c>
      <c r="BC139" s="716">
        <v>104</v>
      </c>
      <c r="BD139" s="716">
        <v>20</v>
      </c>
      <c r="BE139" s="716">
        <v>80</v>
      </c>
      <c r="BF139" s="716"/>
      <c r="BG139" s="716"/>
      <c r="BH139" s="716">
        <v>150</v>
      </c>
      <c r="BI139" s="716">
        <v>60</v>
      </c>
      <c r="BJ139" s="744"/>
      <c r="BK139" s="744"/>
      <c r="BL139" s="744"/>
      <c r="BM139" s="745"/>
      <c r="BN139" s="722">
        <f t="shared" si="62"/>
        <v>779.11164999999994</v>
      </c>
      <c r="BO139" s="708"/>
      <c r="BP139" s="708"/>
      <c r="BQ139" s="724"/>
      <c r="BR139" s="703">
        <f t="shared" si="69"/>
        <v>399.99999999999994</v>
      </c>
      <c r="BS139" s="703">
        <f t="shared" si="70"/>
        <v>291</v>
      </c>
    </row>
    <row r="140" spans="1:71" s="726" customFormat="1">
      <c r="A140" s="704" t="s">
        <v>93</v>
      </c>
      <c r="B140" s="705">
        <v>72</v>
      </c>
      <c r="C140" s="706"/>
      <c r="D140" s="706" t="s">
        <v>296</v>
      </c>
      <c r="E140" s="706" t="s">
        <v>297</v>
      </c>
      <c r="F140" s="774">
        <v>43525</v>
      </c>
      <c r="G140" s="738" t="s">
        <v>566</v>
      </c>
      <c r="H140" s="709">
        <v>70182</v>
      </c>
      <c r="I140" s="710" t="s">
        <v>323</v>
      </c>
      <c r="J140" s="733"/>
      <c r="K140" s="712" t="s">
        <v>567</v>
      </c>
      <c r="L140" s="706" t="s">
        <v>568</v>
      </c>
      <c r="M140" s="713">
        <v>17687</v>
      </c>
      <c r="N140" s="714"/>
      <c r="O140" s="714">
        <v>42.991</v>
      </c>
      <c r="P140" s="714">
        <v>35.918999999999997</v>
      </c>
      <c r="Q140" s="714">
        <v>19.010000000000002</v>
      </c>
      <c r="R140" s="714">
        <v>0.25</v>
      </c>
      <c r="S140" s="714">
        <v>41.472000000000001</v>
      </c>
      <c r="T140" s="714">
        <v>38.033000000000001</v>
      </c>
      <c r="U140" s="714">
        <v>20.041</v>
      </c>
      <c r="V140" s="714">
        <v>4.3159999999999998</v>
      </c>
      <c r="W140" s="714">
        <v>4.2039999999999997</v>
      </c>
      <c r="X140" s="714">
        <v>3.8029999999999999</v>
      </c>
      <c r="Y140" s="714">
        <v>3.2480000000000002</v>
      </c>
      <c r="Z140" s="714">
        <v>0.05</v>
      </c>
      <c r="AA140" s="714">
        <v>17.739000000000001</v>
      </c>
      <c r="AB140" s="714">
        <v>16.28</v>
      </c>
      <c r="AC140" s="704">
        <v>14.9</v>
      </c>
      <c r="AD140" s="704">
        <v>11.65</v>
      </c>
      <c r="AE140" s="704">
        <v>8.66</v>
      </c>
      <c r="AF140" s="715">
        <v>5.42</v>
      </c>
      <c r="AG140" s="704"/>
      <c r="AH140" s="715"/>
      <c r="AI140" s="715"/>
      <c r="AJ140" s="716"/>
      <c r="AK140" s="704"/>
      <c r="AL140" s="717">
        <f t="shared" si="58"/>
        <v>7.0720000000000027</v>
      </c>
      <c r="AM140" s="718">
        <v>2.5099999999999998</v>
      </c>
      <c r="AN140" s="718">
        <v>2.4700000000000002</v>
      </c>
      <c r="AO140" s="718">
        <f t="shared" si="71"/>
        <v>24.25696000000001</v>
      </c>
      <c r="AP140" s="718">
        <f t="shared" si="61"/>
        <v>29.23696000000001</v>
      </c>
      <c r="AQ140" s="719">
        <v>4.5999999999999996</v>
      </c>
      <c r="AR140" s="719">
        <v>3.9999999999999996</v>
      </c>
      <c r="AS140" s="716">
        <v>21</v>
      </c>
      <c r="AT140" s="716">
        <v>0.6</v>
      </c>
      <c r="AU140" s="716">
        <v>28</v>
      </c>
      <c r="AV140" s="716">
        <f t="shared" si="65"/>
        <v>16.8</v>
      </c>
      <c r="AW140" s="716">
        <f t="shared" si="66"/>
        <v>83.999999999999986</v>
      </c>
      <c r="AX140" s="716">
        <f t="shared" ref="AX140" si="78">AQ140*AS140</f>
        <v>96.6</v>
      </c>
      <c r="AY140" s="716">
        <f t="shared" si="67"/>
        <v>-4.1999999999999886</v>
      </c>
      <c r="AZ140" s="716">
        <v>100</v>
      </c>
      <c r="BA140" s="716"/>
      <c r="BB140" s="720">
        <v>10000</v>
      </c>
      <c r="BC140" s="716">
        <v>52</v>
      </c>
      <c r="BD140" s="716">
        <v>10</v>
      </c>
      <c r="BE140" s="716">
        <v>80</v>
      </c>
      <c r="BF140" s="716"/>
      <c r="BG140" s="716"/>
      <c r="BH140" s="716"/>
      <c r="BI140" s="716"/>
      <c r="BJ140" s="744"/>
      <c r="BK140" s="744"/>
      <c r="BL140" s="744"/>
      <c r="BM140" s="745">
        <v>60</v>
      </c>
      <c r="BN140" s="722">
        <f t="shared" si="62"/>
        <v>432.03696000000002</v>
      </c>
      <c r="BO140" s="708"/>
      <c r="BP140" s="708"/>
      <c r="BQ140" s="724"/>
      <c r="BR140" s="703">
        <f t="shared" si="69"/>
        <v>399.99999999999994</v>
      </c>
      <c r="BS140" s="703">
        <f t="shared" si="70"/>
        <v>292</v>
      </c>
    </row>
    <row r="141" spans="1:71" s="726" customFormat="1">
      <c r="A141" s="704" t="s">
        <v>93</v>
      </c>
      <c r="B141" s="705">
        <v>73</v>
      </c>
      <c r="C141" s="706"/>
      <c r="D141" s="732" t="s">
        <v>110</v>
      </c>
      <c r="E141" s="707" t="s">
        <v>117</v>
      </c>
      <c r="F141" s="708">
        <v>45261</v>
      </c>
      <c r="G141" s="706" t="s">
        <v>1025</v>
      </c>
      <c r="H141" s="709">
        <v>70182</v>
      </c>
      <c r="I141" s="709" t="s">
        <v>323</v>
      </c>
      <c r="J141" s="711" t="s">
        <v>1026</v>
      </c>
      <c r="K141" s="743"/>
      <c r="L141" s="706" t="s">
        <v>1027</v>
      </c>
      <c r="M141" s="713">
        <v>28807</v>
      </c>
      <c r="N141" s="714" t="s">
        <v>933</v>
      </c>
      <c r="O141" s="780">
        <v>15.129</v>
      </c>
      <c r="P141" s="714">
        <v>12.545999999999999</v>
      </c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714"/>
      <c r="AB141" s="714"/>
      <c r="AC141" s="704"/>
      <c r="AD141" s="704"/>
      <c r="AE141" s="704"/>
      <c r="AF141" s="715"/>
      <c r="AG141" s="704"/>
      <c r="AH141" s="715"/>
      <c r="AI141" s="715"/>
      <c r="AJ141" s="716"/>
      <c r="AK141" s="704"/>
      <c r="AL141" s="717">
        <f t="shared" si="58"/>
        <v>2.5830000000000002</v>
      </c>
      <c r="AM141" s="718">
        <v>2.5099999999999998</v>
      </c>
      <c r="AN141" s="718">
        <v>2.4700000000000002</v>
      </c>
      <c r="AO141" s="718">
        <f t="shared" si="71"/>
        <v>8.8596900000000005</v>
      </c>
      <c r="AP141" s="718">
        <f t="shared" si="61"/>
        <v>13.839690000000001</v>
      </c>
      <c r="AQ141" s="719">
        <v>4.5999999999999996</v>
      </c>
      <c r="AR141" s="719">
        <v>3.9999999999999996</v>
      </c>
      <c r="AS141" s="716">
        <v>21</v>
      </c>
      <c r="AT141" s="716">
        <v>0.6</v>
      </c>
      <c r="AU141" s="716">
        <v>28</v>
      </c>
      <c r="AV141" s="716">
        <f t="shared" si="65"/>
        <v>16.8</v>
      </c>
      <c r="AW141" s="716">
        <f t="shared" si="66"/>
        <v>83.999999999999986</v>
      </c>
      <c r="AX141" s="716">
        <f t="shared" ref="AX141" si="79">AQ141*AS141</f>
        <v>96.6</v>
      </c>
      <c r="AY141" s="716">
        <f>AX141-(AV141+AW141)</f>
        <v>-4.1999999999999886</v>
      </c>
      <c r="AZ141" s="716">
        <v>100</v>
      </c>
      <c r="BA141" s="716">
        <v>32.5</v>
      </c>
      <c r="BB141" s="720">
        <v>10000</v>
      </c>
      <c r="BC141" s="716">
        <v>52</v>
      </c>
      <c r="BD141" s="716">
        <v>10</v>
      </c>
      <c r="BE141" s="716">
        <v>80</v>
      </c>
      <c r="BF141" s="716"/>
      <c r="BG141" s="716"/>
      <c r="BH141" s="716"/>
      <c r="BI141" s="716"/>
      <c r="BJ141" s="744"/>
      <c r="BK141" s="744"/>
      <c r="BL141" s="744"/>
      <c r="BM141" s="745"/>
      <c r="BN141" s="722">
        <f t="shared" si="62"/>
        <v>389.13968999999997</v>
      </c>
      <c r="BO141" s="708"/>
      <c r="BP141" s="708"/>
      <c r="BQ141" s="724"/>
      <c r="BR141" s="703">
        <f t="shared" si="69"/>
        <v>399.99999999999994</v>
      </c>
      <c r="BS141" s="703">
        <f t="shared" si="70"/>
        <v>293</v>
      </c>
    </row>
    <row r="142" spans="1:71" s="726" customFormat="1">
      <c r="A142" s="704" t="s">
        <v>93</v>
      </c>
      <c r="B142" s="705">
        <v>74</v>
      </c>
      <c r="C142" s="706"/>
      <c r="D142" s="732" t="s">
        <v>1028</v>
      </c>
      <c r="E142" s="706" t="s">
        <v>1029</v>
      </c>
      <c r="F142" s="708">
        <v>45413</v>
      </c>
      <c r="G142" s="706" t="s">
        <v>1030</v>
      </c>
      <c r="H142" s="709">
        <v>70619</v>
      </c>
      <c r="I142" s="710" t="s">
        <v>323</v>
      </c>
      <c r="J142" s="711"/>
      <c r="K142" s="711" t="s">
        <v>1031</v>
      </c>
      <c r="L142" s="706" t="s">
        <v>1032</v>
      </c>
      <c r="M142" s="713">
        <v>31482</v>
      </c>
      <c r="N142" s="714" t="s">
        <v>1033</v>
      </c>
      <c r="O142" s="714">
        <v>6.298</v>
      </c>
      <c r="P142" s="714">
        <v>1.1859999999999999</v>
      </c>
      <c r="Q142" s="714"/>
      <c r="R142" s="714"/>
      <c r="S142" s="714"/>
      <c r="T142" s="714"/>
      <c r="U142" s="714"/>
      <c r="V142" s="714"/>
      <c r="W142" s="714"/>
      <c r="X142" s="714"/>
      <c r="Y142" s="714"/>
      <c r="Z142" s="714"/>
      <c r="AA142" s="714"/>
      <c r="AB142" s="714"/>
      <c r="AC142" s="704"/>
      <c r="AD142" s="704"/>
      <c r="AE142" s="704"/>
      <c r="AF142" s="715"/>
      <c r="AG142" s="704"/>
      <c r="AH142" s="715"/>
      <c r="AI142" s="715"/>
      <c r="AJ142" s="716"/>
      <c r="AK142" s="704"/>
      <c r="AL142" s="717">
        <f t="shared" si="58"/>
        <v>5.1120000000000001</v>
      </c>
      <c r="AM142" s="718">
        <v>2.5099999999999998</v>
      </c>
      <c r="AN142" s="718">
        <v>2.4700000000000002</v>
      </c>
      <c r="AO142" s="718">
        <f t="shared" si="71"/>
        <v>17.53416</v>
      </c>
      <c r="AP142" s="718">
        <f t="shared" si="61"/>
        <v>22.51416</v>
      </c>
      <c r="AQ142" s="719">
        <v>4.5999999999999996</v>
      </c>
      <c r="AR142" s="719">
        <v>3.9999999999999996</v>
      </c>
      <c r="AS142" s="716">
        <v>21</v>
      </c>
      <c r="AT142" s="716">
        <v>0.6</v>
      </c>
      <c r="AU142" s="716">
        <v>28</v>
      </c>
      <c r="AV142" s="716">
        <f>(AT142*AU142)+((AT142*AU142)/12*7)</f>
        <v>26.6</v>
      </c>
      <c r="AW142" s="716">
        <f>(AR142*AS142)+(AR142*AS142)/12*7</f>
        <v>132.99999999999997</v>
      </c>
      <c r="AX142" s="716">
        <f t="shared" ref="AX142" si="80">AQ142*AS142</f>
        <v>96.6</v>
      </c>
      <c r="AY142" s="716">
        <f>AX142-(AV142+AW142)</f>
        <v>-62.999999999999972</v>
      </c>
      <c r="AZ142" s="716">
        <v>200</v>
      </c>
      <c r="BA142" s="716"/>
      <c r="BB142" s="720">
        <v>10000</v>
      </c>
      <c r="BC142" s="716">
        <v>104</v>
      </c>
      <c r="BD142" s="716">
        <v>20</v>
      </c>
      <c r="BE142" s="716">
        <v>80</v>
      </c>
      <c r="BF142" s="716"/>
      <c r="BG142" s="716"/>
      <c r="BH142" s="716">
        <v>150</v>
      </c>
      <c r="BI142" s="716">
        <v>60</v>
      </c>
      <c r="BJ142" s="744"/>
      <c r="BK142" s="744"/>
      <c r="BL142" s="744"/>
      <c r="BM142" s="745"/>
      <c r="BN142" s="722">
        <f t="shared" si="62"/>
        <v>796.11415999999997</v>
      </c>
      <c r="BO142" s="708"/>
      <c r="BP142" s="708"/>
      <c r="BQ142" s="724"/>
      <c r="BR142" s="703">
        <f t="shared" si="69"/>
        <v>399.99999999999994</v>
      </c>
      <c r="BS142" s="703">
        <f t="shared" si="70"/>
        <v>294</v>
      </c>
    </row>
    <row r="143" spans="1:71" s="726" customFormat="1">
      <c r="A143" s="704" t="s">
        <v>93</v>
      </c>
      <c r="B143" s="705">
        <v>75</v>
      </c>
      <c r="C143" s="706"/>
      <c r="D143" s="707" t="s">
        <v>143</v>
      </c>
      <c r="E143" s="706" t="s">
        <v>144</v>
      </c>
      <c r="F143" s="708">
        <v>36130</v>
      </c>
      <c r="G143" s="706" t="s">
        <v>704</v>
      </c>
      <c r="H143" s="709">
        <v>70771</v>
      </c>
      <c r="I143" s="710" t="s">
        <v>574</v>
      </c>
      <c r="J143" s="711" t="s">
        <v>569</v>
      </c>
      <c r="K143" s="743" t="s">
        <v>705</v>
      </c>
      <c r="L143" s="706" t="s">
        <v>570</v>
      </c>
      <c r="M143" s="713">
        <v>24829</v>
      </c>
      <c r="N143" s="714"/>
      <c r="O143" s="714">
        <v>6.74</v>
      </c>
      <c r="P143" s="714">
        <v>5.9429999999999996</v>
      </c>
      <c r="Q143" s="714">
        <v>2.21</v>
      </c>
      <c r="R143" s="714">
        <v>0.25</v>
      </c>
      <c r="S143" s="714">
        <v>18.637</v>
      </c>
      <c r="T143" s="714">
        <v>18.445</v>
      </c>
      <c r="U143" s="714">
        <v>18.2</v>
      </c>
      <c r="V143" s="714">
        <v>11.911</v>
      </c>
      <c r="W143" s="714">
        <v>11.624000000000001</v>
      </c>
      <c r="X143" s="714">
        <v>9.0739999999999998</v>
      </c>
      <c r="Y143" s="714">
        <v>3.0369999999999999</v>
      </c>
      <c r="Z143" s="714">
        <v>0.05</v>
      </c>
      <c r="AA143" s="714">
        <v>7.7969999999999997</v>
      </c>
      <c r="AB143" s="714">
        <v>6.9</v>
      </c>
      <c r="AC143" s="704">
        <v>6.05</v>
      </c>
      <c r="AD143" s="704">
        <v>5.31</v>
      </c>
      <c r="AE143" s="704">
        <v>4.8099999999999996</v>
      </c>
      <c r="AF143" s="715">
        <v>3.27</v>
      </c>
      <c r="AG143" s="704"/>
      <c r="AH143" s="715"/>
      <c r="AI143" s="715"/>
      <c r="AJ143" s="716"/>
      <c r="AK143" s="704"/>
      <c r="AL143" s="717">
        <f t="shared" si="58"/>
        <v>0.7970000000000006</v>
      </c>
      <c r="AM143" s="718">
        <v>2.5099999999999998</v>
      </c>
      <c r="AN143" s="718">
        <v>2.4700000000000002</v>
      </c>
      <c r="AO143" s="718">
        <f t="shared" si="71"/>
        <v>2.7337100000000021</v>
      </c>
      <c r="AP143" s="718">
        <f t="shared" si="61"/>
        <v>7.7137100000000025</v>
      </c>
      <c r="AQ143" s="719">
        <v>5.0999999999999996</v>
      </c>
      <c r="AR143" s="719">
        <v>4.5</v>
      </c>
      <c r="AS143" s="716">
        <v>21</v>
      </c>
      <c r="AT143" s="716">
        <v>0.6</v>
      </c>
      <c r="AU143" s="716">
        <v>28</v>
      </c>
      <c r="AV143" s="716">
        <f t="shared" si="65"/>
        <v>16.8</v>
      </c>
      <c r="AW143" s="716">
        <f t="shared" si="66"/>
        <v>94.5</v>
      </c>
      <c r="AX143" s="716">
        <f t="shared" ref="AX143:AX151" si="81">AQ143*AS143</f>
        <v>107.1</v>
      </c>
      <c r="AY143" s="716">
        <f t="shared" si="67"/>
        <v>-4.2000000000000028</v>
      </c>
      <c r="AZ143" s="716">
        <v>100</v>
      </c>
      <c r="BA143" s="716"/>
      <c r="BB143" s="720"/>
      <c r="BC143" s="716"/>
      <c r="BD143" s="716">
        <v>10</v>
      </c>
      <c r="BE143" s="716">
        <v>80</v>
      </c>
      <c r="BF143" s="716"/>
      <c r="BG143" s="716"/>
      <c r="BH143" s="716"/>
      <c r="BI143" s="716"/>
      <c r="BJ143" s="744"/>
      <c r="BK143" s="744"/>
      <c r="BL143" s="744"/>
      <c r="BM143" s="745"/>
      <c r="BN143" s="722">
        <f t="shared" si="62"/>
        <v>309.01371</v>
      </c>
      <c r="BO143" s="708"/>
      <c r="BP143" s="708"/>
      <c r="BQ143" s="724"/>
      <c r="BR143" s="703">
        <f t="shared" si="69"/>
        <v>450</v>
      </c>
      <c r="BS143" s="703">
        <f t="shared" si="70"/>
        <v>295</v>
      </c>
    </row>
    <row r="144" spans="1:71" s="726" customFormat="1">
      <c r="A144" s="704" t="s">
        <v>93</v>
      </c>
      <c r="B144" s="705">
        <v>76</v>
      </c>
      <c r="C144" s="707"/>
      <c r="D144" s="707" t="s">
        <v>168</v>
      </c>
      <c r="E144" s="706" t="s">
        <v>169</v>
      </c>
      <c r="F144" s="708">
        <v>39948</v>
      </c>
      <c r="G144" s="738" t="s">
        <v>571</v>
      </c>
      <c r="H144" s="709">
        <v>70619</v>
      </c>
      <c r="I144" s="710" t="s">
        <v>323</v>
      </c>
      <c r="J144" s="711">
        <v>475403</v>
      </c>
      <c r="K144" s="725"/>
      <c r="L144" s="706" t="s">
        <v>572</v>
      </c>
      <c r="M144" s="713">
        <v>19095</v>
      </c>
      <c r="N144" s="714"/>
      <c r="O144" s="714">
        <v>47.716000000000001</v>
      </c>
      <c r="P144" s="714">
        <v>45.171999999999997</v>
      </c>
      <c r="Q144" s="714">
        <v>23.004000000000001</v>
      </c>
      <c r="R144" s="714">
        <v>0.25</v>
      </c>
      <c r="S144" s="714">
        <v>127.995</v>
      </c>
      <c r="T144" s="714">
        <v>121.351</v>
      </c>
      <c r="U144" s="714">
        <v>92.78</v>
      </c>
      <c r="V144" s="714">
        <v>74.570999999999998</v>
      </c>
      <c r="W144" s="714">
        <v>41.473999999999997</v>
      </c>
      <c r="X144" s="714">
        <v>12.55</v>
      </c>
      <c r="Y144" s="714">
        <v>1.179</v>
      </c>
      <c r="Z144" s="714">
        <v>0.05</v>
      </c>
      <c r="AA144" s="714">
        <v>25.774999999999999</v>
      </c>
      <c r="AB144" s="714">
        <v>24.29</v>
      </c>
      <c r="AC144" s="704">
        <v>21.96</v>
      </c>
      <c r="AD144" s="704">
        <v>20.260000000000002</v>
      </c>
      <c r="AE144" s="704">
        <v>15.05</v>
      </c>
      <c r="AF144" s="715">
        <v>11.37</v>
      </c>
      <c r="AG144" s="704"/>
      <c r="AH144" s="715"/>
      <c r="AI144" s="715"/>
      <c r="AJ144" s="716"/>
      <c r="AK144" s="704"/>
      <c r="AL144" s="717">
        <f t="shared" si="58"/>
        <v>2.544000000000004</v>
      </c>
      <c r="AM144" s="718">
        <v>2.5099999999999998</v>
      </c>
      <c r="AN144" s="718">
        <v>2.4700000000000002</v>
      </c>
      <c r="AO144" s="718">
        <f t="shared" si="71"/>
        <v>8.7259200000000146</v>
      </c>
      <c r="AP144" s="718">
        <f t="shared" si="61"/>
        <v>13.705920000000015</v>
      </c>
      <c r="AQ144" s="719">
        <v>4.5999999999999996</v>
      </c>
      <c r="AR144" s="719">
        <v>3.9999999999999996</v>
      </c>
      <c r="AS144" s="716">
        <v>21</v>
      </c>
      <c r="AT144" s="716">
        <v>0.6</v>
      </c>
      <c r="AU144" s="716">
        <v>28</v>
      </c>
      <c r="AV144" s="716">
        <f t="shared" si="65"/>
        <v>16.8</v>
      </c>
      <c r="AW144" s="716">
        <f t="shared" si="66"/>
        <v>83.999999999999986</v>
      </c>
      <c r="AX144" s="716">
        <f t="shared" si="81"/>
        <v>96.6</v>
      </c>
      <c r="AY144" s="716">
        <f t="shared" si="67"/>
        <v>-4.1999999999999886</v>
      </c>
      <c r="AZ144" s="716">
        <v>100</v>
      </c>
      <c r="BA144" s="716"/>
      <c r="BB144" s="720">
        <v>10000</v>
      </c>
      <c r="BC144" s="716">
        <v>52</v>
      </c>
      <c r="BD144" s="716">
        <v>10</v>
      </c>
      <c r="BE144" s="716">
        <v>80</v>
      </c>
      <c r="BF144" s="716"/>
      <c r="BG144" s="716"/>
      <c r="BH144" s="716"/>
      <c r="BI144" s="716"/>
      <c r="BJ144" s="744"/>
      <c r="BK144" s="744"/>
      <c r="BL144" s="744"/>
      <c r="BM144" s="745"/>
      <c r="BN144" s="722">
        <f t="shared" si="62"/>
        <v>356.50592</v>
      </c>
      <c r="BO144" s="708"/>
      <c r="BP144" s="708"/>
      <c r="BQ144" s="724"/>
      <c r="BR144" s="703">
        <f t="shared" si="69"/>
        <v>399.99999999999994</v>
      </c>
      <c r="BS144" s="703">
        <f t="shared" si="70"/>
        <v>296</v>
      </c>
    </row>
    <row r="145" spans="1:71" s="726" customFormat="1">
      <c r="A145" s="704" t="s">
        <v>93</v>
      </c>
      <c r="B145" s="705">
        <v>77</v>
      </c>
      <c r="C145" s="706"/>
      <c r="D145" s="707" t="s">
        <v>145</v>
      </c>
      <c r="E145" s="706" t="s">
        <v>146</v>
      </c>
      <c r="F145" s="708">
        <v>39948</v>
      </c>
      <c r="G145" s="706" t="s">
        <v>571</v>
      </c>
      <c r="H145" s="709">
        <v>70619</v>
      </c>
      <c r="I145" s="710" t="s">
        <v>323</v>
      </c>
      <c r="J145" s="711">
        <v>475403</v>
      </c>
      <c r="K145" s="747"/>
      <c r="L145" s="706" t="s">
        <v>572</v>
      </c>
      <c r="M145" s="713">
        <v>17393</v>
      </c>
      <c r="N145" s="714"/>
      <c r="O145" s="714">
        <v>51.503</v>
      </c>
      <c r="P145" s="714">
        <v>49.177</v>
      </c>
      <c r="Q145" s="714">
        <v>31.135000000000002</v>
      </c>
      <c r="R145" s="714">
        <v>0.25</v>
      </c>
      <c r="S145" s="714">
        <v>124.815</v>
      </c>
      <c r="T145" s="714">
        <v>120.236</v>
      </c>
      <c r="U145" s="714">
        <v>97.673000000000002</v>
      </c>
      <c r="V145" s="714">
        <v>85.846999999999994</v>
      </c>
      <c r="W145" s="714">
        <v>58.991</v>
      </c>
      <c r="X145" s="714">
        <v>51.731000000000002</v>
      </c>
      <c r="Y145" s="714">
        <v>40.918999999999997</v>
      </c>
      <c r="Z145" s="714">
        <v>0.05</v>
      </c>
      <c r="AA145" s="714">
        <v>46.545999999999999</v>
      </c>
      <c r="AB145" s="714">
        <v>39.799999999999997</v>
      </c>
      <c r="AC145" s="704">
        <v>35</v>
      </c>
      <c r="AD145" s="704">
        <v>26.68</v>
      </c>
      <c r="AE145" s="704">
        <v>15.33</v>
      </c>
      <c r="AF145" s="715">
        <v>7.46</v>
      </c>
      <c r="AG145" s="704"/>
      <c r="AH145" s="715"/>
      <c r="AI145" s="715"/>
      <c r="AJ145" s="716"/>
      <c r="AK145" s="704"/>
      <c r="AL145" s="717">
        <f t="shared" si="58"/>
        <v>2.3260000000000005</v>
      </c>
      <c r="AM145" s="718">
        <v>2.5099999999999998</v>
      </c>
      <c r="AN145" s="718">
        <v>2.4700000000000002</v>
      </c>
      <c r="AO145" s="718">
        <f t="shared" si="71"/>
        <v>7.9781800000000018</v>
      </c>
      <c r="AP145" s="718">
        <f t="shared" si="61"/>
        <v>12.958180000000002</v>
      </c>
      <c r="AQ145" s="719">
        <v>4.5999999999999996</v>
      </c>
      <c r="AR145" s="719">
        <v>3.9999999999999996</v>
      </c>
      <c r="AS145" s="716">
        <v>21</v>
      </c>
      <c r="AT145" s="716">
        <v>0.6</v>
      </c>
      <c r="AU145" s="716">
        <v>28</v>
      </c>
      <c r="AV145" s="716">
        <f t="shared" si="65"/>
        <v>16.8</v>
      </c>
      <c r="AW145" s="716">
        <f t="shared" si="66"/>
        <v>83.999999999999986</v>
      </c>
      <c r="AX145" s="716">
        <f t="shared" si="81"/>
        <v>96.6</v>
      </c>
      <c r="AY145" s="716">
        <f t="shared" si="67"/>
        <v>-4.1999999999999886</v>
      </c>
      <c r="AZ145" s="716">
        <v>100</v>
      </c>
      <c r="BA145" s="716"/>
      <c r="BB145" s="720">
        <v>10000</v>
      </c>
      <c r="BC145" s="781">
        <v>52</v>
      </c>
      <c r="BD145" s="716">
        <v>10</v>
      </c>
      <c r="BE145" s="716">
        <v>80</v>
      </c>
      <c r="BJ145" s="777"/>
      <c r="BK145" s="777"/>
      <c r="BL145" s="777"/>
      <c r="BM145" s="745"/>
      <c r="BN145" s="722">
        <f t="shared" si="62"/>
        <v>355.75817999999998</v>
      </c>
      <c r="BO145" s="708"/>
      <c r="BP145" s="708"/>
      <c r="BQ145" s="708"/>
      <c r="BR145" s="703">
        <f t="shared" si="69"/>
        <v>399.99999999999994</v>
      </c>
      <c r="BS145" s="703">
        <f t="shared" si="70"/>
        <v>297</v>
      </c>
    </row>
    <row r="146" spans="1:71" s="726" customFormat="1">
      <c r="A146" s="704" t="s">
        <v>93</v>
      </c>
      <c r="B146" s="705">
        <v>78</v>
      </c>
      <c r="C146" s="706"/>
      <c r="D146" s="707" t="s">
        <v>147</v>
      </c>
      <c r="E146" s="706" t="s">
        <v>148</v>
      </c>
      <c r="F146" s="708">
        <v>37026</v>
      </c>
      <c r="G146" s="706" t="s">
        <v>573</v>
      </c>
      <c r="H146" s="709">
        <v>70771</v>
      </c>
      <c r="I146" s="710" t="s">
        <v>574</v>
      </c>
      <c r="J146" s="711" t="s">
        <v>575</v>
      </c>
      <c r="K146" s="725"/>
      <c r="L146" s="706" t="s">
        <v>706</v>
      </c>
      <c r="M146" s="713">
        <v>25272</v>
      </c>
      <c r="N146" s="714"/>
      <c r="O146" s="714">
        <v>5.7530000000000001</v>
      </c>
      <c r="P146" s="714">
        <v>5.2709999999999999</v>
      </c>
      <c r="Q146" s="714">
        <v>2.504</v>
      </c>
      <c r="R146" s="714">
        <v>0.25</v>
      </c>
      <c r="S146" s="714">
        <v>10.135</v>
      </c>
      <c r="T146" s="714">
        <v>9.6440000000000001</v>
      </c>
      <c r="U146" s="714">
        <v>7.782</v>
      </c>
      <c r="V146" s="714">
        <v>7.1269999999999998</v>
      </c>
      <c r="W146" s="714">
        <v>5.6840000000000002</v>
      </c>
      <c r="X146" s="714">
        <v>5.3710000000000004</v>
      </c>
      <c r="Y146" s="714">
        <v>3.0390000000000001</v>
      </c>
      <c r="Z146" s="714">
        <v>0.05</v>
      </c>
      <c r="AA146" s="714">
        <v>11.925000000000001</v>
      </c>
      <c r="AB146" s="714">
        <v>9.5500000000000007</v>
      </c>
      <c r="AC146" s="704">
        <v>8.68</v>
      </c>
      <c r="AD146" s="704">
        <v>7.78</v>
      </c>
      <c r="AE146" s="704">
        <v>5.93</v>
      </c>
      <c r="AF146" s="715">
        <v>3.38</v>
      </c>
      <c r="AG146" s="704"/>
      <c r="AH146" s="715"/>
      <c r="AI146" s="715"/>
      <c r="AJ146" s="716"/>
      <c r="AK146" s="704"/>
      <c r="AL146" s="717">
        <f t="shared" si="58"/>
        <v>0.48200000000000021</v>
      </c>
      <c r="AM146" s="718">
        <v>2.5099999999999998</v>
      </c>
      <c r="AN146" s="718">
        <v>2.4700000000000002</v>
      </c>
      <c r="AO146" s="718">
        <f t="shared" si="71"/>
        <v>1.6532600000000008</v>
      </c>
      <c r="AP146" s="718">
        <f t="shared" si="61"/>
        <v>6.6332600000000017</v>
      </c>
      <c r="AQ146" s="719">
        <v>4.5999999999999996</v>
      </c>
      <c r="AR146" s="719">
        <v>3.9999999999999996</v>
      </c>
      <c r="AS146" s="716">
        <v>21</v>
      </c>
      <c r="AT146" s="716">
        <v>0.6</v>
      </c>
      <c r="AU146" s="716">
        <v>28</v>
      </c>
      <c r="AV146" s="716">
        <f t="shared" si="65"/>
        <v>16.8</v>
      </c>
      <c r="AW146" s="716">
        <f t="shared" si="66"/>
        <v>83.999999999999986</v>
      </c>
      <c r="AX146" s="716">
        <f t="shared" si="81"/>
        <v>96.6</v>
      </c>
      <c r="AY146" s="716">
        <f t="shared" si="67"/>
        <v>-4.1999999999999886</v>
      </c>
      <c r="AZ146" s="716">
        <v>100</v>
      </c>
      <c r="BA146" s="716">
        <v>32.5</v>
      </c>
      <c r="BB146" s="720">
        <v>10000</v>
      </c>
      <c r="BC146" s="716">
        <v>52</v>
      </c>
      <c r="BD146" s="716">
        <v>10</v>
      </c>
      <c r="BE146" s="716">
        <v>80</v>
      </c>
      <c r="BF146" s="716"/>
      <c r="BG146" s="716"/>
      <c r="BH146" s="716"/>
      <c r="BI146" s="716"/>
      <c r="BJ146" s="744"/>
      <c r="BK146" s="744"/>
      <c r="BL146" s="744"/>
      <c r="BM146" s="745"/>
      <c r="BN146" s="722">
        <f t="shared" si="62"/>
        <v>381.93326000000002</v>
      </c>
      <c r="BO146" s="708"/>
      <c r="BP146" s="708"/>
      <c r="BQ146" s="724"/>
      <c r="BR146" s="703">
        <f t="shared" si="69"/>
        <v>399.99999999999994</v>
      </c>
      <c r="BS146" s="703">
        <f t="shared" si="70"/>
        <v>298</v>
      </c>
    </row>
    <row r="147" spans="1:71" s="726" customFormat="1">
      <c r="A147" s="704" t="s">
        <v>93</v>
      </c>
      <c r="B147" s="705">
        <v>79</v>
      </c>
      <c r="C147" s="706"/>
      <c r="D147" s="707" t="s">
        <v>181</v>
      </c>
      <c r="E147" s="706" t="s">
        <v>182</v>
      </c>
      <c r="F147" s="708">
        <v>41407</v>
      </c>
      <c r="G147" s="706" t="s">
        <v>576</v>
      </c>
      <c r="H147" s="709">
        <v>70619</v>
      </c>
      <c r="I147" s="710" t="s">
        <v>323</v>
      </c>
      <c r="J147" s="711">
        <v>478286</v>
      </c>
      <c r="K147" s="725"/>
      <c r="L147" s="706" t="s">
        <v>577</v>
      </c>
      <c r="M147" s="713">
        <v>22573</v>
      </c>
      <c r="N147" s="714"/>
      <c r="O147" s="714">
        <v>32.64</v>
      </c>
      <c r="P147" s="714">
        <v>22.83</v>
      </c>
      <c r="Q147" s="714">
        <v>9.9290000000000003</v>
      </c>
      <c r="R147" s="714">
        <v>0.25</v>
      </c>
      <c r="S147" s="714">
        <v>68.012</v>
      </c>
      <c r="T147" s="714">
        <v>65.259</v>
      </c>
      <c r="U147" s="714">
        <v>57.930999999999997</v>
      </c>
      <c r="V147" s="714">
        <v>53.067</v>
      </c>
      <c r="W147" s="714">
        <v>48.938000000000002</v>
      </c>
      <c r="X147" s="714">
        <v>41.226999999999997</v>
      </c>
      <c r="Y147" s="714">
        <v>37.61</v>
      </c>
      <c r="Z147" s="714">
        <v>0.05</v>
      </c>
      <c r="AA147" s="714">
        <v>22.231999999999999</v>
      </c>
      <c r="AB147" s="714">
        <v>18.190000000000001</v>
      </c>
      <c r="AC147" s="704">
        <v>13.92</v>
      </c>
      <c r="AD147" s="704">
        <v>8.39</v>
      </c>
      <c r="AE147" s="704">
        <v>6.5</v>
      </c>
      <c r="AF147" s="715">
        <v>2.02</v>
      </c>
      <c r="AG147" s="704"/>
      <c r="AH147" s="715"/>
      <c r="AI147" s="715"/>
      <c r="AJ147" s="716"/>
      <c r="AK147" s="704"/>
      <c r="AL147" s="717">
        <f t="shared" si="58"/>
        <v>9.8100000000000023</v>
      </c>
      <c r="AM147" s="718">
        <v>2.5099999999999998</v>
      </c>
      <c r="AN147" s="718">
        <v>2.4700000000000002</v>
      </c>
      <c r="AO147" s="718">
        <f t="shared" si="71"/>
        <v>33.648300000000006</v>
      </c>
      <c r="AP147" s="718">
        <f t="shared" si="61"/>
        <v>38.62830000000001</v>
      </c>
      <c r="AQ147" s="719">
        <v>4.5999999999999996</v>
      </c>
      <c r="AR147" s="719">
        <v>3.9999999999999996</v>
      </c>
      <c r="AS147" s="716">
        <v>21</v>
      </c>
      <c r="AT147" s="716">
        <v>0.6</v>
      </c>
      <c r="AU147" s="716">
        <v>28</v>
      </c>
      <c r="AV147" s="716">
        <f t="shared" si="65"/>
        <v>16.8</v>
      </c>
      <c r="AW147" s="716">
        <f t="shared" si="66"/>
        <v>83.999999999999986</v>
      </c>
      <c r="AX147" s="716">
        <f t="shared" si="81"/>
        <v>96.6</v>
      </c>
      <c r="AY147" s="716">
        <f t="shared" si="67"/>
        <v>-4.1999999999999886</v>
      </c>
      <c r="AZ147" s="716">
        <v>100</v>
      </c>
      <c r="BA147" s="716"/>
      <c r="BB147" s="720">
        <v>10000</v>
      </c>
      <c r="BC147" s="716">
        <v>52</v>
      </c>
      <c r="BD147" s="716">
        <v>10</v>
      </c>
      <c r="BE147" s="716">
        <v>80</v>
      </c>
      <c r="BF147" s="716"/>
      <c r="BG147" s="716"/>
      <c r="BH147" s="716"/>
      <c r="BI147" s="716"/>
      <c r="BJ147" s="744"/>
      <c r="BK147" s="744"/>
      <c r="BL147" s="745"/>
      <c r="BM147" s="745"/>
      <c r="BN147" s="722">
        <f t="shared" si="62"/>
        <v>381.42830000000004</v>
      </c>
      <c r="BO147" s="708"/>
      <c r="BP147" s="708"/>
      <c r="BQ147" s="724"/>
      <c r="BR147" s="703">
        <f t="shared" si="69"/>
        <v>399.99999999999994</v>
      </c>
      <c r="BS147" s="703">
        <f t="shared" si="70"/>
        <v>299</v>
      </c>
    </row>
    <row r="148" spans="1:71" s="726" customFormat="1">
      <c r="A148" s="704" t="s">
        <v>93</v>
      </c>
      <c r="B148" s="705">
        <v>80</v>
      </c>
      <c r="C148" s="706"/>
      <c r="D148" s="707" t="s">
        <v>142</v>
      </c>
      <c r="E148" s="706" t="s">
        <v>77</v>
      </c>
      <c r="F148" s="708">
        <v>38991</v>
      </c>
      <c r="G148" s="706" t="s">
        <v>578</v>
      </c>
      <c r="H148" s="709">
        <v>70794</v>
      </c>
      <c r="I148" s="709" t="s">
        <v>378</v>
      </c>
      <c r="J148" s="711" t="s">
        <v>579</v>
      </c>
      <c r="K148" s="725"/>
      <c r="L148" s="706" t="s">
        <v>580</v>
      </c>
      <c r="M148" s="713">
        <v>23592</v>
      </c>
      <c r="N148" s="714"/>
      <c r="O148" s="714">
        <v>7.4489999999999998</v>
      </c>
      <c r="P148" s="714">
        <v>7.3079999999999998</v>
      </c>
      <c r="Q148" s="714">
        <v>4.32</v>
      </c>
      <c r="R148" s="714">
        <v>0.25</v>
      </c>
      <c r="S148" s="714">
        <v>36.137999999999998</v>
      </c>
      <c r="T148" s="714">
        <v>33.945999999999998</v>
      </c>
      <c r="U148" s="714">
        <v>27.652000000000001</v>
      </c>
      <c r="V148" s="714">
        <v>23.119</v>
      </c>
      <c r="W148" s="714">
        <v>14.565</v>
      </c>
      <c r="X148" s="714">
        <v>8.5649999999999995</v>
      </c>
      <c r="Y148" s="714">
        <v>5.9660000000000002</v>
      </c>
      <c r="Z148" s="714">
        <v>0.05</v>
      </c>
      <c r="AA148" s="714">
        <v>23.585999999999999</v>
      </c>
      <c r="AB148" s="714">
        <v>20.23</v>
      </c>
      <c r="AC148" s="704">
        <v>18.09</v>
      </c>
      <c r="AD148" s="704">
        <v>14.33</v>
      </c>
      <c r="AE148" s="704">
        <v>11.11</v>
      </c>
      <c r="AF148" s="715">
        <v>7.42</v>
      </c>
      <c r="AG148" s="704"/>
      <c r="AH148" s="715"/>
      <c r="AI148" s="715"/>
      <c r="AJ148" s="716"/>
      <c r="AK148" s="704"/>
      <c r="AL148" s="717">
        <f t="shared" si="58"/>
        <v>0.14100000000000001</v>
      </c>
      <c r="AM148" s="718">
        <v>2.5099999999999998</v>
      </c>
      <c r="AN148" s="718">
        <v>2.4700000000000002</v>
      </c>
      <c r="AO148" s="718">
        <f t="shared" si="71"/>
        <v>0.48363000000000006</v>
      </c>
      <c r="AP148" s="718">
        <f t="shared" si="61"/>
        <v>5.4636300000000002</v>
      </c>
      <c r="AQ148" s="719">
        <v>4.5999999999999996</v>
      </c>
      <c r="AR148" s="719">
        <v>3.9999999999999996</v>
      </c>
      <c r="AS148" s="716">
        <v>21</v>
      </c>
      <c r="AT148" s="716">
        <v>0.6</v>
      </c>
      <c r="AU148" s="716">
        <v>28</v>
      </c>
      <c r="AV148" s="716">
        <f t="shared" si="65"/>
        <v>16.8</v>
      </c>
      <c r="AW148" s="716">
        <f t="shared" si="66"/>
        <v>83.999999999999986</v>
      </c>
      <c r="AX148" s="716">
        <f t="shared" si="81"/>
        <v>96.6</v>
      </c>
      <c r="AY148" s="716">
        <f>AX148-(AV148+AW148)</f>
        <v>-4.1999999999999886</v>
      </c>
      <c r="AZ148" s="716">
        <v>100</v>
      </c>
      <c r="BA148" s="716"/>
      <c r="BB148" s="720">
        <v>10000</v>
      </c>
      <c r="BC148" s="716">
        <v>52</v>
      </c>
      <c r="BD148" s="716">
        <v>10</v>
      </c>
      <c r="BE148" s="716">
        <v>80</v>
      </c>
      <c r="BF148" s="716"/>
      <c r="BG148" s="716"/>
      <c r="BH148" s="716"/>
      <c r="BI148" s="716"/>
      <c r="BJ148" s="744"/>
      <c r="BK148" s="744"/>
      <c r="BL148" s="744"/>
      <c r="BM148" s="745">
        <v>120</v>
      </c>
      <c r="BN148" s="722">
        <f t="shared" si="62"/>
        <v>468.26362999999998</v>
      </c>
      <c r="BO148" s="708"/>
      <c r="BP148" s="708"/>
      <c r="BQ148" s="724"/>
      <c r="BR148" s="703">
        <f t="shared" si="69"/>
        <v>399.99999999999994</v>
      </c>
      <c r="BS148" s="703">
        <f t="shared" si="70"/>
        <v>300</v>
      </c>
    </row>
    <row r="149" spans="1:71" s="726" customFormat="1">
      <c r="A149" s="704" t="s">
        <v>93</v>
      </c>
      <c r="B149" s="705">
        <v>81</v>
      </c>
      <c r="C149" s="706"/>
      <c r="D149" s="707" t="s">
        <v>217</v>
      </c>
      <c r="E149" s="706" t="s">
        <v>581</v>
      </c>
      <c r="F149" s="708">
        <v>41974</v>
      </c>
      <c r="G149" s="706" t="s">
        <v>582</v>
      </c>
      <c r="H149" s="709">
        <v>70190</v>
      </c>
      <c r="I149" s="710" t="s">
        <v>323</v>
      </c>
      <c r="J149" s="711">
        <v>12894194</v>
      </c>
      <c r="K149" s="712" t="s">
        <v>583</v>
      </c>
      <c r="L149" s="706" t="s">
        <v>584</v>
      </c>
      <c r="M149" s="713">
        <v>28579</v>
      </c>
      <c r="N149" s="714"/>
      <c r="O149" s="714">
        <v>6.0819999999999999</v>
      </c>
      <c r="P149" s="714">
        <v>5.4939999999999998</v>
      </c>
      <c r="Q149" s="714">
        <v>0.53100000000000003</v>
      </c>
      <c r="R149" s="714">
        <v>0.25</v>
      </c>
      <c r="S149" s="714">
        <v>12.22</v>
      </c>
      <c r="T149" s="714">
        <v>11.047000000000001</v>
      </c>
      <c r="U149" s="714">
        <v>9.2759999999999998</v>
      </c>
      <c r="V149" s="714">
        <v>8.9879999999999995</v>
      </c>
      <c r="W149" s="714">
        <v>8.8539999999999992</v>
      </c>
      <c r="X149" s="714">
        <v>5.5060000000000002</v>
      </c>
      <c r="Y149" s="714">
        <v>3.0179999999999998</v>
      </c>
      <c r="Z149" s="714">
        <v>0.05</v>
      </c>
      <c r="AA149" s="714">
        <v>26.867999999999999</v>
      </c>
      <c r="AB149" s="714">
        <v>24.96</v>
      </c>
      <c r="AC149" s="704">
        <v>23.66</v>
      </c>
      <c r="AD149" s="704">
        <v>22.7</v>
      </c>
      <c r="AE149" s="704">
        <v>19.989999999999998</v>
      </c>
      <c r="AF149" s="715"/>
      <c r="AG149" s="704"/>
      <c r="AH149" s="715"/>
      <c r="AI149" s="715"/>
      <c r="AJ149" s="716"/>
      <c r="AK149" s="704"/>
      <c r="AL149" s="717">
        <f t="shared" si="58"/>
        <v>0.58800000000000008</v>
      </c>
      <c r="AM149" s="718">
        <v>2.5099999999999998</v>
      </c>
      <c r="AN149" s="718">
        <v>2.4700000000000002</v>
      </c>
      <c r="AO149" s="718">
        <f t="shared" si="71"/>
        <v>2.0168400000000002</v>
      </c>
      <c r="AP149" s="718">
        <f t="shared" si="61"/>
        <v>6.9968400000000006</v>
      </c>
      <c r="AQ149" s="719">
        <v>4.5999999999999996</v>
      </c>
      <c r="AR149" s="719">
        <v>3.9999999999999996</v>
      </c>
      <c r="AS149" s="716">
        <v>28</v>
      </c>
      <c r="AT149" s="716">
        <v>0.6</v>
      </c>
      <c r="AU149" s="716">
        <v>28</v>
      </c>
      <c r="AV149" s="716">
        <f t="shared" si="65"/>
        <v>16.8</v>
      </c>
      <c r="AW149" s="716">
        <f t="shared" si="66"/>
        <v>111.99999999999999</v>
      </c>
      <c r="AX149" s="716">
        <f t="shared" si="81"/>
        <v>128.79999999999998</v>
      </c>
      <c r="AY149" s="716">
        <f t="shared" si="67"/>
        <v>0</v>
      </c>
      <c r="AZ149" s="716">
        <v>100</v>
      </c>
      <c r="BA149" s="716"/>
      <c r="BB149" s="720">
        <v>10000</v>
      </c>
      <c r="BC149" s="716">
        <v>52</v>
      </c>
      <c r="BD149" s="716">
        <v>10</v>
      </c>
      <c r="BE149" s="716">
        <v>80</v>
      </c>
      <c r="BF149" s="716"/>
      <c r="BG149" s="716"/>
      <c r="BH149" s="716"/>
      <c r="BI149" s="716"/>
      <c r="BJ149" s="744"/>
      <c r="BK149" s="744"/>
      <c r="BL149" s="744"/>
      <c r="BM149" s="745"/>
      <c r="BN149" s="722">
        <f t="shared" si="62"/>
        <v>377.79683999999997</v>
      </c>
      <c r="BO149" s="708"/>
      <c r="BP149" s="708"/>
      <c r="BQ149" s="724"/>
      <c r="BR149" s="703">
        <f t="shared" si="69"/>
        <v>399.99999999999994</v>
      </c>
      <c r="BS149" s="703">
        <f t="shared" si="70"/>
        <v>301</v>
      </c>
    </row>
    <row r="150" spans="1:71" s="726" customFormat="1">
      <c r="A150" s="704" t="s">
        <v>93</v>
      </c>
      <c r="B150" s="705">
        <v>82</v>
      </c>
      <c r="C150" s="706"/>
      <c r="D150" s="707" t="s">
        <v>232</v>
      </c>
      <c r="E150" s="706" t="s">
        <v>44</v>
      </c>
      <c r="F150" s="708">
        <v>42125</v>
      </c>
      <c r="G150" s="706" t="s">
        <v>585</v>
      </c>
      <c r="H150" s="709">
        <v>70499</v>
      </c>
      <c r="I150" s="710" t="s">
        <v>323</v>
      </c>
      <c r="J150" s="711">
        <v>8872024</v>
      </c>
      <c r="K150" s="725"/>
      <c r="L150" s="706" t="s">
        <v>586</v>
      </c>
      <c r="M150" s="713"/>
      <c r="N150" s="714"/>
      <c r="O150" s="714">
        <v>12.368</v>
      </c>
      <c r="P150" s="714">
        <v>9.6150000000000002</v>
      </c>
      <c r="Q150" s="714">
        <v>3.3759999999999999</v>
      </c>
      <c r="R150" s="714">
        <v>0.25</v>
      </c>
      <c r="S150" s="714">
        <v>29.061</v>
      </c>
      <c r="T150" s="714">
        <v>27.163</v>
      </c>
      <c r="U150" s="714">
        <v>17.122</v>
      </c>
      <c r="V150" s="714">
        <v>15.840999999999999</v>
      </c>
      <c r="W150" s="714">
        <v>7.4640000000000004</v>
      </c>
      <c r="X150" s="714">
        <v>4.4790000000000001</v>
      </c>
      <c r="Y150" s="714">
        <v>3.2410000000000001</v>
      </c>
      <c r="Z150" s="714">
        <v>0.05</v>
      </c>
      <c r="AA150" s="714">
        <v>20.99</v>
      </c>
      <c r="AB150" s="714">
        <v>17.18</v>
      </c>
      <c r="AC150" s="704">
        <v>15.19</v>
      </c>
      <c r="AD150" s="704">
        <v>11.2</v>
      </c>
      <c r="AE150" s="704">
        <v>7.78</v>
      </c>
      <c r="AF150" s="715">
        <v>4.4400000000000004</v>
      </c>
      <c r="AG150" s="704"/>
      <c r="AH150" s="715"/>
      <c r="AI150" s="715"/>
      <c r="AJ150" s="716"/>
      <c r="AK150" s="704"/>
      <c r="AL150" s="717">
        <f t="shared" si="58"/>
        <v>2.7530000000000001</v>
      </c>
      <c r="AM150" s="718">
        <v>2.5099999999999998</v>
      </c>
      <c r="AN150" s="718">
        <v>2.4700000000000002</v>
      </c>
      <c r="AO150" s="718">
        <f t="shared" si="71"/>
        <v>9.4427900000000005</v>
      </c>
      <c r="AP150" s="718">
        <f t="shared" si="61"/>
        <v>14.422790000000001</v>
      </c>
      <c r="AQ150" s="719">
        <v>4.5999999999999996</v>
      </c>
      <c r="AR150" s="719">
        <v>3.9999999999999996</v>
      </c>
      <c r="AS150" s="716">
        <v>28</v>
      </c>
      <c r="AT150" s="716">
        <v>0.6</v>
      </c>
      <c r="AU150" s="716">
        <v>28</v>
      </c>
      <c r="AV150" s="716">
        <f t="shared" si="65"/>
        <v>16.8</v>
      </c>
      <c r="AW150" s="716">
        <f t="shared" si="66"/>
        <v>111.99999999999999</v>
      </c>
      <c r="AX150" s="716">
        <f t="shared" si="81"/>
        <v>128.79999999999998</v>
      </c>
      <c r="AY150" s="716">
        <f t="shared" si="67"/>
        <v>0</v>
      </c>
      <c r="AZ150" s="716">
        <v>100</v>
      </c>
      <c r="BA150" s="716"/>
      <c r="BB150" s="720">
        <v>10000</v>
      </c>
      <c r="BC150" s="716">
        <v>52</v>
      </c>
      <c r="BD150" s="716">
        <v>10</v>
      </c>
      <c r="BE150" s="716">
        <v>80</v>
      </c>
      <c r="BF150" s="716"/>
      <c r="BG150" s="716"/>
      <c r="BH150" s="716"/>
      <c r="BI150" s="716"/>
      <c r="BJ150" s="716"/>
      <c r="BK150" s="716"/>
      <c r="BL150" s="716"/>
      <c r="BM150" s="745"/>
      <c r="BN150" s="722">
        <f t="shared" si="62"/>
        <v>385.22279000000003</v>
      </c>
      <c r="BO150" s="708"/>
      <c r="BP150" s="708"/>
      <c r="BQ150" s="724"/>
      <c r="BR150" s="703">
        <f t="shared" si="69"/>
        <v>399.99999999999994</v>
      </c>
      <c r="BS150" s="703">
        <f t="shared" si="70"/>
        <v>302</v>
      </c>
    </row>
    <row r="151" spans="1:71" s="726" customFormat="1">
      <c r="A151" s="704" t="s">
        <v>93</v>
      </c>
      <c r="B151" s="705">
        <v>83</v>
      </c>
      <c r="C151" s="706"/>
      <c r="D151" s="707" t="s">
        <v>272</v>
      </c>
      <c r="E151" s="706" t="s">
        <v>151</v>
      </c>
      <c r="F151" s="708">
        <v>43221</v>
      </c>
      <c r="G151" s="706" t="s">
        <v>587</v>
      </c>
      <c r="H151" s="709">
        <v>70180</v>
      </c>
      <c r="I151" s="710" t="s">
        <v>323</v>
      </c>
      <c r="J151" s="711" t="s">
        <v>588</v>
      </c>
      <c r="K151" s="782" t="s">
        <v>589</v>
      </c>
      <c r="L151" s="706" t="s">
        <v>590</v>
      </c>
      <c r="M151" s="713"/>
      <c r="N151" s="714"/>
      <c r="O151" s="714">
        <v>28.637</v>
      </c>
      <c r="P151" s="714">
        <v>26.210999999999999</v>
      </c>
      <c r="Q151" s="714">
        <v>11.456</v>
      </c>
      <c r="R151" s="714">
        <v>0.25</v>
      </c>
      <c r="S151" s="714">
        <v>38.527000000000001</v>
      </c>
      <c r="T151" s="714">
        <v>37.314</v>
      </c>
      <c r="U151" s="714">
        <v>28.475999999999999</v>
      </c>
      <c r="V151" s="714">
        <v>23.632999999999999</v>
      </c>
      <c r="W151" s="714">
        <v>18.899000000000001</v>
      </c>
      <c r="X151" s="714">
        <v>14.371</v>
      </c>
      <c r="Y151" s="714">
        <v>7.944</v>
      </c>
      <c r="Z151" s="714">
        <v>0.05</v>
      </c>
      <c r="AA151" s="714">
        <v>3.78</v>
      </c>
      <c r="AB151" s="714">
        <v>3.58</v>
      </c>
      <c r="AC151" s="704">
        <v>3.45</v>
      </c>
      <c r="AD151" s="704">
        <v>3.4</v>
      </c>
      <c r="AE151" s="704">
        <v>3.14</v>
      </c>
      <c r="AF151" s="715">
        <v>2.6</v>
      </c>
      <c r="AG151" s="704"/>
      <c r="AH151" s="715"/>
      <c r="AI151" s="715"/>
      <c r="AJ151" s="716"/>
      <c r="AK151" s="704"/>
      <c r="AL151" s="717">
        <f t="shared" si="58"/>
        <v>2.4260000000000019</v>
      </c>
      <c r="AM151" s="718">
        <v>2.5099999999999998</v>
      </c>
      <c r="AN151" s="718">
        <v>2.4700000000000002</v>
      </c>
      <c r="AO151" s="718">
        <f t="shared" si="71"/>
        <v>8.3211800000000071</v>
      </c>
      <c r="AP151" s="718">
        <f t="shared" si="61"/>
        <v>13.301180000000008</v>
      </c>
      <c r="AQ151" s="719">
        <v>4.5999999999999996</v>
      </c>
      <c r="AR151" s="719">
        <v>3.9999999999999996</v>
      </c>
      <c r="AS151" s="716">
        <v>28</v>
      </c>
      <c r="AT151" s="716">
        <v>0.6</v>
      </c>
      <c r="AU151" s="716">
        <v>28</v>
      </c>
      <c r="AV151" s="716">
        <f t="shared" si="65"/>
        <v>16.8</v>
      </c>
      <c r="AW151" s="716">
        <f t="shared" si="66"/>
        <v>111.99999999999999</v>
      </c>
      <c r="AX151" s="716">
        <f t="shared" si="81"/>
        <v>128.79999999999998</v>
      </c>
      <c r="AY151" s="716">
        <f t="shared" si="67"/>
        <v>0</v>
      </c>
      <c r="AZ151" s="716">
        <v>100</v>
      </c>
      <c r="BA151" s="716">
        <v>32.5</v>
      </c>
      <c r="BB151" s="720">
        <v>10000</v>
      </c>
      <c r="BC151" s="716">
        <v>52</v>
      </c>
      <c r="BD151" s="716">
        <v>10</v>
      </c>
      <c r="BE151" s="716">
        <v>80</v>
      </c>
      <c r="BF151" s="716"/>
      <c r="BG151" s="716"/>
      <c r="BH151" s="716"/>
      <c r="BI151" s="716"/>
      <c r="BJ151" s="716"/>
      <c r="BK151" s="716"/>
      <c r="BL151" s="716"/>
      <c r="BM151" s="745"/>
      <c r="BN151" s="722">
        <f t="shared" si="62"/>
        <v>416.60118</v>
      </c>
      <c r="BO151" s="708"/>
      <c r="BP151" s="708"/>
      <c r="BQ151" s="724"/>
      <c r="BR151" s="703">
        <f t="shared" si="69"/>
        <v>399.99999999999994</v>
      </c>
      <c r="BS151" s="703">
        <f t="shared" si="70"/>
        <v>303</v>
      </c>
    </row>
    <row r="152" spans="1:71" s="726" customFormat="1">
      <c r="A152" s="704" t="s">
        <v>93</v>
      </c>
      <c r="B152" s="705">
        <v>84</v>
      </c>
      <c r="C152" s="704"/>
      <c r="D152" s="707" t="s">
        <v>833</v>
      </c>
      <c r="E152" s="706" t="s">
        <v>834</v>
      </c>
      <c r="F152" s="708">
        <v>44896</v>
      </c>
      <c r="G152" s="706" t="s">
        <v>835</v>
      </c>
      <c r="H152" s="709">
        <v>70597</v>
      </c>
      <c r="I152" s="710" t="s">
        <v>323</v>
      </c>
      <c r="J152" s="711"/>
      <c r="K152" s="730" t="s">
        <v>836</v>
      </c>
      <c r="L152" s="706" t="s">
        <v>837</v>
      </c>
      <c r="M152" s="713">
        <v>25618</v>
      </c>
      <c r="N152" s="714"/>
      <c r="O152" s="714">
        <v>3.524</v>
      </c>
      <c r="P152" s="714">
        <v>2.9390000000000001</v>
      </c>
      <c r="Q152" s="714">
        <v>0.65300000000000002</v>
      </c>
      <c r="R152" s="714">
        <v>0.25</v>
      </c>
      <c r="S152" s="714">
        <v>4.8739999999999997</v>
      </c>
      <c r="T152" s="714">
        <v>4.6580000000000004</v>
      </c>
      <c r="U152" s="714">
        <v>4.4269999999999996</v>
      </c>
      <c r="V152" s="714">
        <v>3.4790000000000001</v>
      </c>
      <c r="W152" s="714">
        <v>2.2650000000000001</v>
      </c>
      <c r="X152" s="714">
        <v>1.599</v>
      </c>
      <c r="Y152" s="714">
        <v>1.4950000000000001</v>
      </c>
      <c r="Z152" s="714">
        <v>0.05</v>
      </c>
      <c r="AA152" s="714">
        <v>7.8209999999999997</v>
      </c>
      <c r="AB152" s="714">
        <v>7.09</v>
      </c>
      <c r="AC152" s="704">
        <v>5.94</v>
      </c>
      <c r="AD152" s="704">
        <v>4.51</v>
      </c>
      <c r="AE152" s="704">
        <v>4.16</v>
      </c>
      <c r="AF152" s="715">
        <v>2.14</v>
      </c>
      <c r="AG152" s="704"/>
      <c r="AH152" s="715"/>
      <c r="AI152" s="715"/>
      <c r="AJ152" s="716"/>
      <c r="AK152" s="704"/>
      <c r="AL152" s="717">
        <f t="shared" si="58"/>
        <v>0.58499999999999996</v>
      </c>
      <c r="AM152" s="718">
        <v>2.5099999999999998</v>
      </c>
      <c r="AN152" s="718">
        <v>2.4700000000000002</v>
      </c>
      <c r="AO152" s="718">
        <f t="shared" si="71"/>
        <v>2.0065499999999998</v>
      </c>
      <c r="AP152" s="718">
        <f t="shared" si="61"/>
        <v>6.9865500000000003</v>
      </c>
      <c r="AQ152" s="719">
        <v>4.5999999999999996</v>
      </c>
      <c r="AR152" s="719">
        <v>3.9999999999999996</v>
      </c>
      <c r="AS152" s="716">
        <v>28</v>
      </c>
      <c r="AT152" s="716">
        <v>0.6</v>
      </c>
      <c r="AU152" s="716">
        <v>28</v>
      </c>
      <c r="AV152" s="716">
        <f t="shared" si="65"/>
        <v>16.8</v>
      </c>
      <c r="AW152" s="716">
        <f t="shared" si="66"/>
        <v>111.99999999999999</v>
      </c>
      <c r="AX152" s="716">
        <f t="shared" ref="AX152" si="82">AQ152*AS152</f>
        <v>128.79999999999998</v>
      </c>
      <c r="AY152" s="716">
        <f t="shared" si="67"/>
        <v>0</v>
      </c>
      <c r="AZ152" s="716">
        <v>100</v>
      </c>
      <c r="BA152" s="716"/>
      <c r="BB152" s="720">
        <v>7500</v>
      </c>
      <c r="BC152" s="716">
        <v>35.5</v>
      </c>
      <c r="BD152" s="716">
        <v>10</v>
      </c>
      <c r="BE152" s="716">
        <v>80</v>
      </c>
      <c r="BF152" s="716"/>
      <c r="BG152" s="716"/>
      <c r="BH152" s="716"/>
      <c r="BI152" s="716"/>
      <c r="BJ152" s="744"/>
      <c r="BK152" s="744"/>
      <c r="BL152" s="744"/>
      <c r="BM152" s="745"/>
      <c r="BN152" s="722">
        <f t="shared" si="62"/>
        <v>361.28654999999998</v>
      </c>
      <c r="BO152" s="708"/>
      <c r="BP152" s="708"/>
      <c r="BQ152" s="724"/>
      <c r="BR152" s="703">
        <f t="shared" si="69"/>
        <v>399.99999999999994</v>
      </c>
      <c r="BS152" s="703">
        <f t="shared" si="70"/>
        <v>304</v>
      </c>
    </row>
    <row r="153" spans="1:71" s="726" customFormat="1">
      <c r="A153" s="704" t="s">
        <v>93</v>
      </c>
      <c r="B153" s="705">
        <v>85</v>
      </c>
      <c r="C153" s="706"/>
      <c r="D153" s="707" t="s">
        <v>245</v>
      </c>
      <c r="E153" s="706" t="s">
        <v>246</v>
      </c>
      <c r="F153" s="708">
        <v>42705</v>
      </c>
      <c r="G153" s="706" t="s">
        <v>591</v>
      </c>
      <c r="H153" s="709">
        <v>70619</v>
      </c>
      <c r="I153" s="710" t="s">
        <v>323</v>
      </c>
      <c r="J153" s="711"/>
      <c r="K153" s="712" t="s">
        <v>592</v>
      </c>
      <c r="L153" s="706" t="s">
        <v>593</v>
      </c>
      <c r="M153" s="713"/>
      <c r="N153" s="714"/>
      <c r="O153" s="714">
        <v>10.055999999999999</v>
      </c>
      <c r="P153" s="714">
        <v>8.5340000000000007</v>
      </c>
      <c r="Q153" s="714">
        <v>3.6859999999999999</v>
      </c>
      <c r="R153" s="714">
        <v>0.25</v>
      </c>
      <c r="S153" s="714">
        <v>28.972999999999999</v>
      </c>
      <c r="T153" s="714">
        <v>26.577000000000002</v>
      </c>
      <c r="U153" s="714">
        <v>13.601000000000001</v>
      </c>
      <c r="V153" s="714">
        <v>9.3759999999999994</v>
      </c>
      <c r="W153" s="714">
        <v>7.1630000000000003</v>
      </c>
      <c r="X153" s="714">
        <v>5.9059999999999997</v>
      </c>
      <c r="Y153" s="714"/>
      <c r="Z153" s="714"/>
      <c r="AA153" s="714"/>
      <c r="AB153" s="714"/>
      <c r="AC153" s="704"/>
      <c r="AD153" s="704"/>
      <c r="AE153" s="704"/>
      <c r="AF153" s="715"/>
      <c r="AG153" s="704"/>
      <c r="AH153" s="715"/>
      <c r="AI153" s="715"/>
      <c r="AJ153" s="716"/>
      <c r="AK153" s="704"/>
      <c r="AL153" s="717">
        <f t="shared" si="58"/>
        <v>1.5219999999999985</v>
      </c>
      <c r="AM153" s="718">
        <v>2.5099999999999998</v>
      </c>
      <c r="AN153" s="718">
        <v>2.4700000000000002</v>
      </c>
      <c r="AO153" s="718">
        <f t="shared" si="71"/>
        <v>5.2204599999999948</v>
      </c>
      <c r="AP153" s="718">
        <f t="shared" si="61"/>
        <v>10.200459999999996</v>
      </c>
      <c r="AQ153" s="719">
        <v>4.5999999999999996</v>
      </c>
      <c r="AR153" s="719">
        <v>3.9999999999999996</v>
      </c>
      <c r="AS153" s="716">
        <v>28</v>
      </c>
      <c r="AT153" s="716">
        <v>0.6</v>
      </c>
      <c r="AU153" s="716">
        <v>28</v>
      </c>
      <c r="AV153" s="716">
        <f t="shared" si="65"/>
        <v>16.8</v>
      </c>
      <c r="AW153" s="716">
        <f t="shared" si="66"/>
        <v>111.99999999999999</v>
      </c>
      <c r="AX153" s="716">
        <f t="shared" ref="AX153:AX154" si="83">AQ153*AS153</f>
        <v>128.79999999999998</v>
      </c>
      <c r="AY153" s="716">
        <f t="shared" si="67"/>
        <v>0</v>
      </c>
      <c r="AZ153" s="716">
        <v>100</v>
      </c>
      <c r="BA153" s="716"/>
      <c r="BB153" s="720">
        <v>8500</v>
      </c>
      <c r="BC153" s="716">
        <v>40</v>
      </c>
      <c r="BD153" s="716">
        <v>10</v>
      </c>
      <c r="BE153" s="716">
        <v>80</v>
      </c>
      <c r="BF153" s="716"/>
      <c r="BG153" s="716"/>
      <c r="BH153" s="716"/>
      <c r="BI153" s="716"/>
      <c r="BJ153" s="744"/>
      <c r="BK153" s="744"/>
      <c r="BL153" s="744"/>
      <c r="BM153" s="745"/>
      <c r="BN153" s="722">
        <f t="shared" si="62"/>
        <v>369.00045999999998</v>
      </c>
      <c r="BO153" s="708"/>
      <c r="BP153" s="708"/>
      <c r="BQ153" s="724"/>
      <c r="BR153" s="703">
        <f t="shared" si="69"/>
        <v>399.99999999999994</v>
      </c>
      <c r="BS153" s="703">
        <f t="shared" si="70"/>
        <v>305</v>
      </c>
    </row>
    <row r="154" spans="1:71" s="726" customFormat="1">
      <c r="A154" s="704" t="s">
        <v>93</v>
      </c>
      <c r="B154" s="705">
        <v>86</v>
      </c>
      <c r="C154" s="706"/>
      <c r="D154" s="707" t="s">
        <v>149</v>
      </c>
      <c r="E154" s="706" t="s">
        <v>150</v>
      </c>
      <c r="F154" s="708">
        <v>35765</v>
      </c>
      <c r="G154" s="706" t="s">
        <v>594</v>
      </c>
      <c r="H154" s="709">
        <v>70619</v>
      </c>
      <c r="I154" s="710" t="s">
        <v>323</v>
      </c>
      <c r="J154" s="711" t="s">
        <v>595</v>
      </c>
      <c r="K154" s="743"/>
      <c r="L154" s="706" t="s">
        <v>596</v>
      </c>
      <c r="M154" s="713">
        <v>19893</v>
      </c>
      <c r="N154" s="714"/>
      <c r="O154" s="714">
        <v>7.9160000000000004</v>
      </c>
      <c r="P154" s="714">
        <v>6.7309999999999999</v>
      </c>
      <c r="Q154" s="714">
        <v>3.2010000000000001</v>
      </c>
      <c r="R154" s="714">
        <v>0.25</v>
      </c>
      <c r="S154" s="714">
        <v>6.4569999999999999</v>
      </c>
      <c r="T154" s="714">
        <v>5.1820000000000004</v>
      </c>
      <c r="U154" s="714">
        <v>2.633</v>
      </c>
      <c r="V154" s="714">
        <v>2.4300000000000002</v>
      </c>
      <c r="W154" s="714">
        <v>2.2530000000000001</v>
      </c>
      <c r="X154" s="714">
        <v>0.378</v>
      </c>
      <c r="Y154" s="714">
        <v>0.114</v>
      </c>
      <c r="Z154" s="714">
        <v>0.05</v>
      </c>
      <c r="AA154" s="714">
        <v>9.2780000000000005</v>
      </c>
      <c r="AB154" s="714">
        <v>8.99</v>
      </c>
      <c r="AC154" s="704">
        <v>8.69</v>
      </c>
      <c r="AD154" s="704">
        <v>8.34</v>
      </c>
      <c r="AE154" s="704">
        <v>7.65</v>
      </c>
      <c r="AF154" s="715">
        <v>6.15</v>
      </c>
      <c r="AG154" s="704"/>
      <c r="AH154" s="715"/>
      <c r="AI154" s="715"/>
      <c r="AJ154" s="716"/>
      <c r="AK154" s="704"/>
      <c r="AL154" s="717">
        <f t="shared" si="58"/>
        <v>1.1850000000000005</v>
      </c>
      <c r="AM154" s="718">
        <v>2.5099999999999998</v>
      </c>
      <c r="AN154" s="718">
        <v>2.4700000000000002</v>
      </c>
      <c r="AO154" s="718">
        <f t="shared" si="71"/>
        <v>4.0645500000000023</v>
      </c>
      <c r="AP154" s="718">
        <f t="shared" si="61"/>
        <v>9.0445500000000028</v>
      </c>
      <c r="AQ154" s="719">
        <v>5.6</v>
      </c>
      <c r="AR154" s="719">
        <v>5</v>
      </c>
      <c r="AS154" s="716">
        <v>28</v>
      </c>
      <c r="AT154" s="716">
        <v>0.6</v>
      </c>
      <c r="AU154" s="716">
        <v>28</v>
      </c>
      <c r="AV154" s="716">
        <f t="shared" si="65"/>
        <v>16.8</v>
      </c>
      <c r="AW154" s="716">
        <f t="shared" si="66"/>
        <v>140</v>
      </c>
      <c r="AX154" s="716">
        <f t="shared" si="83"/>
        <v>156.79999999999998</v>
      </c>
      <c r="AY154" s="716">
        <f t="shared" si="67"/>
        <v>0</v>
      </c>
      <c r="AZ154" s="716">
        <v>100</v>
      </c>
      <c r="BA154" s="716"/>
      <c r="BB154" s="720"/>
      <c r="BC154" s="716"/>
      <c r="BD154" s="716">
        <v>10</v>
      </c>
      <c r="BE154" s="716">
        <v>80</v>
      </c>
      <c r="BF154" s="716"/>
      <c r="BG154" s="716"/>
      <c r="BH154" s="716"/>
      <c r="BI154" s="716"/>
      <c r="BJ154" s="744"/>
      <c r="BK154" s="744"/>
      <c r="BL154" s="744"/>
      <c r="BM154" s="745"/>
      <c r="BN154" s="722">
        <f t="shared" si="62"/>
        <v>355.84455000000003</v>
      </c>
      <c r="BO154" s="708"/>
      <c r="BP154" s="708"/>
      <c r="BQ154" s="724"/>
      <c r="BR154" s="703">
        <f t="shared" si="69"/>
        <v>500</v>
      </c>
      <c r="BS154" s="703">
        <f t="shared" si="70"/>
        <v>306</v>
      </c>
    </row>
    <row r="155" spans="1:71">
      <c r="BJ155" s="726"/>
    </row>
    <row r="156" spans="1:71">
      <c r="F156" s="786"/>
      <c r="G156" s="786"/>
      <c r="H156" s="786"/>
      <c r="I156" s="786"/>
      <c r="J156" s="786"/>
      <c r="K156" s="786"/>
      <c r="L156" s="786"/>
      <c r="M156" s="786"/>
      <c r="N156" s="786"/>
      <c r="O156" s="786"/>
      <c r="P156" s="786"/>
      <c r="Q156" s="787"/>
      <c r="R156" s="788"/>
      <c r="S156" s="786"/>
      <c r="BJ156" s="726"/>
    </row>
    <row r="159" spans="1:71">
      <c r="AO159" s="789"/>
      <c r="AP159" s="789"/>
      <c r="AQ159" s="790"/>
      <c r="AR159" s="856"/>
      <c r="AS159" s="752"/>
      <c r="AT159" s="752"/>
      <c r="AU159" s="752"/>
      <c r="AV159" s="752"/>
      <c r="AW159" s="752"/>
      <c r="AX159" s="791"/>
      <c r="AY159" s="792"/>
      <c r="AZ159" s="793"/>
      <c r="BA159" s="793"/>
      <c r="BB159" s="793"/>
      <c r="BC159" s="793"/>
      <c r="BD159" s="794"/>
      <c r="BE159" s="794"/>
      <c r="BF159" s="794"/>
      <c r="BG159" s="794"/>
      <c r="BH159" s="794"/>
      <c r="BJ159" s="726"/>
      <c r="BK159" s="726"/>
      <c r="BL159" s="726"/>
      <c r="BM159" s="793"/>
      <c r="BN159" s="793"/>
      <c r="BO159" s="795"/>
      <c r="BP159" s="795"/>
      <c r="BQ159" s="796"/>
    </row>
    <row r="160" spans="1:71">
      <c r="AM160" s="789"/>
      <c r="AN160" s="789"/>
      <c r="AO160" s="789"/>
      <c r="AP160" s="789"/>
      <c r="AQ160" s="790"/>
      <c r="AR160" s="856"/>
      <c r="AS160" s="752"/>
      <c r="AT160" s="752"/>
      <c r="AU160" s="752"/>
      <c r="AV160" s="752"/>
      <c r="AW160" s="752"/>
      <c r="AX160" s="797"/>
      <c r="AY160" s="798"/>
      <c r="AZ160" s="793"/>
      <c r="BA160" s="793"/>
      <c r="BB160" s="793"/>
      <c r="BC160" s="799" t="s">
        <v>840</v>
      </c>
      <c r="BD160" s="800"/>
      <c r="BE160" s="752"/>
      <c r="BF160" s="752"/>
      <c r="BG160" s="752"/>
      <c r="BH160" s="752"/>
      <c r="BJ160" s="726"/>
      <c r="BK160" s="726"/>
      <c r="BL160" s="726"/>
      <c r="BM160" s="793"/>
      <c r="BN160" s="793"/>
      <c r="BO160" s="795"/>
      <c r="BP160" s="795"/>
      <c r="BQ160" s="796"/>
    </row>
    <row r="161" spans="39:69">
      <c r="AM161" s="789"/>
      <c r="AN161" s="789"/>
      <c r="AO161" s="789"/>
      <c r="AP161" s="789"/>
      <c r="AQ161" s="790"/>
      <c r="AR161" s="856"/>
      <c r="AS161" s="752"/>
      <c r="AT161" s="752"/>
      <c r="AU161" s="752"/>
      <c r="AV161" s="752"/>
      <c r="AW161" s="752"/>
      <c r="AX161" s="791"/>
      <c r="AY161" s="792"/>
      <c r="AZ161" s="793"/>
      <c r="BA161" s="793"/>
      <c r="BB161" s="793"/>
      <c r="BC161" s="793"/>
      <c r="BD161" s="794"/>
      <c r="BE161" s="794"/>
      <c r="BF161" s="794"/>
      <c r="BG161" s="794"/>
      <c r="BH161" s="794"/>
      <c r="BJ161" s="726"/>
      <c r="BK161" s="726"/>
      <c r="BL161" s="726"/>
      <c r="BM161" s="793"/>
      <c r="BN161" s="793"/>
      <c r="BO161" s="795"/>
      <c r="BP161" s="795"/>
      <c r="BQ161" s="796"/>
    </row>
    <row r="162" spans="39:69">
      <c r="AM162" s="789"/>
      <c r="AN162" s="789"/>
      <c r="AO162" s="789"/>
      <c r="AP162" s="789"/>
      <c r="AQ162" s="790"/>
      <c r="AR162" s="856"/>
      <c r="AS162" s="801"/>
      <c r="AT162" s="801"/>
      <c r="AU162" s="801"/>
      <c r="AV162" s="801"/>
      <c r="AW162" s="801"/>
      <c r="AX162" s="802"/>
      <c r="BJ162" s="726"/>
      <c r="BK162" s="726"/>
      <c r="BL162" s="726"/>
      <c r="BM162" s="793"/>
      <c r="BN162" s="793"/>
      <c r="BO162" s="795"/>
      <c r="BP162" s="795"/>
      <c r="BQ162" s="796"/>
    </row>
    <row r="163" spans="39:69">
      <c r="AM163" s="789"/>
      <c r="AN163" s="789"/>
      <c r="AO163" s="789"/>
      <c r="AP163" s="789"/>
      <c r="AQ163" s="790"/>
      <c r="AR163" s="856"/>
      <c r="AS163" s="801"/>
      <c r="AT163" s="801"/>
      <c r="AU163" s="801"/>
      <c r="AV163" s="801"/>
      <c r="AW163" s="801"/>
      <c r="AX163" s="803"/>
      <c r="AY163" s="732"/>
      <c r="AZ163" s="793"/>
      <c r="BA163" s="793"/>
      <c r="BB163" s="804" t="s">
        <v>152</v>
      </c>
      <c r="BC163" s="804" t="s">
        <v>153</v>
      </c>
      <c r="BD163" s="805" t="s">
        <v>154</v>
      </c>
      <c r="BE163" s="752"/>
      <c r="BF163" s="801"/>
      <c r="BG163" s="752"/>
      <c r="BH163" s="752"/>
      <c r="BJ163" s="726"/>
      <c r="BK163" s="726"/>
      <c r="BL163" s="726"/>
      <c r="BM163" s="793"/>
      <c r="BN163" s="793"/>
      <c r="BO163" s="795"/>
      <c r="BP163" s="795"/>
      <c r="BQ163" s="796"/>
    </row>
    <row r="164" spans="39:69" ht="25">
      <c r="AM164" s="789"/>
      <c r="AN164" s="789"/>
      <c r="AO164" s="789"/>
      <c r="AP164" s="789"/>
      <c r="AQ164" s="790"/>
      <c r="AR164" s="856"/>
      <c r="AS164" s="801"/>
      <c r="AT164" s="801"/>
      <c r="AU164" s="801"/>
      <c r="AV164" s="801"/>
      <c r="AW164" s="801"/>
      <c r="AX164" s="803"/>
      <c r="AY164" s="732"/>
      <c r="AZ164" s="793"/>
      <c r="BA164" s="716" t="e">
        <f>BD164+BC164+BB164</f>
        <v>#REF!</v>
      </c>
      <c r="BB164" s="721" t="e">
        <f>#REF!</f>
        <v>#REF!</v>
      </c>
      <c r="BC164" s="721" t="e">
        <f>#REF!</f>
        <v>#REF!</v>
      </c>
      <c r="BD164" s="721" t="e">
        <f>#REF!</f>
        <v>#REF!</v>
      </c>
      <c r="BE164" s="806" t="s">
        <v>1059</v>
      </c>
      <c r="BF164" s="806" t="s">
        <v>155</v>
      </c>
      <c r="BG164" s="752"/>
      <c r="BH164" s="752"/>
      <c r="BJ164" s="726"/>
      <c r="BK164" s="726"/>
      <c r="BL164" s="726"/>
      <c r="BM164" s="793"/>
      <c r="BN164" s="793"/>
      <c r="BO164" s="795"/>
      <c r="BP164" s="795"/>
      <c r="BQ164" s="796"/>
    </row>
    <row r="165" spans="39:69" ht="25">
      <c r="AM165" s="789"/>
      <c r="AN165" s="789"/>
      <c r="AO165" s="789"/>
      <c r="AP165" s="789"/>
      <c r="AQ165" s="790"/>
      <c r="AR165" s="856"/>
      <c r="AS165" s="801"/>
      <c r="AT165" s="801"/>
      <c r="AU165" s="801"/>
      <c r="AV165" s="801"/>
      <c r="AW165" s="801"/>
      <c r="AX165" s="803"/>
      <c r="AY165" s="732"/>
      <c r="AZ165" s="793"/>
      <c r="BA165" s="716">
        <f>BD165+BC165+BB165</f>
        <v>269.00199999999978</v>
      </c>
      <c r="BB165" s="807">
        <v>10</v>
      </c>
      <c r="BC165" s="807">
        <f>'ENBW 2024'!G20</f>
        <v>259.00199999999978</v>
      </c>
      <c r="BD165" s="808"/>
      <c r="BE165" s="806" t="s">
        <v>1059</v>
      </c>
      <c r="BF165" s="806" t="s">
        <v>156</v>
      </c>
      <c r="BG165" s="752"/>
      <c r="BH165" s="752"/>
      <c r="BJ165" s="726"/>
      <c r="BK165" s="726"/>
      <c r="BL165" s="726"/>
      <c r="BM165" s="793"/>
      <c r="BN165" s="793"/>
      <c r="BO165" s="795"/>
      <c r="BP165" s="795"/>
      <c r="BQ165" s="796"/>
    </row>
    <row r="166" spans="39:69" ht="26" thickBot="1">
      <c r="AM166" s="789"/>
      <c r="AN166" s="789"/>
      <c r="AO166" s="789"/>
      <c r="AP166" s="789"/>
      <c r="AQ166" s="790"/>
      <c r="AR166" s="856"/>
      <c r="AS166" s="801"/>
      <c r="AT166" s="801"/>
      <c r="AU166" s="801"/>
      <c r="AV166" s="801"/>
      <c r="AW166" s="801"/>
      <c r="AX166" s="803"/>
      <c r="AY166" s="732"/>
      <c r="AZ166" s="793" t="s">
        <v>234</v>
      </c>
      <c r="BA166" s="809" t="e">
        <f>BB166+BD166</f>
        <v>#REF!</v>
      </c>
      <c r="BB166" s="721" t="e">
        <f t="shared" ref="BB166" si="84">BB165-BB164</f>
        <v>#REF!</v>
      </c>
      <c r="BC166" s="721" t="e">
        <f>BC165-BC164</f>
        <v>#REF!</v>
      </c>
      <c r="BD166" s="721" t="e">
        <f>BD165-BD164</f>
        <v>#REF!</v>
      </c>
      <c r="BE166" s="806" t="s">
        <v>1059</v>
      </c>
      <c r="BF166" s="806" t="s">
        <v>157</v>
      </c>
      <c r="BG166" s="752"/>
      <c r="BH166" s="752"/>
      <c r="BJ166" s="726"/>
      <c r="BK166" s="726"/>
      <c r="BL166" s="726"/>
      <c r="BM166" s="793"/>
      <c r="BN166" s="793"/>
      <c r="BO166" s="795"/>
      <c r="BP166" s="795"/>
      <c r="BQ166" s="796"/>
    </row>
    <row r="167" spans="39:69" ht="22" thickBot="1">
      <c r="AM167" s="789"/>
      <c r="AN167" s="789"/>
      <c r="AO167" s="789"/>
      <c r="AP167" s="789"/>
      <c r="AQ167" s="810"/>
      <c r="AR167" s="856"/>
      <c r="AS167" s="801"/>
      <c r="AT167" s="801"/>
      <c r="AU167" s="801"/>
      <c r="AV167" s="801"/>
      <c r="AW167" s="801"/>
      <c r="AX167" s="803"/>
      <c r="AY167" s="803"/>
      <c r="AZ167" s="811" t="s">
        <v>220</v>
      </c>
      <c r="BA167" s="812">
        <f>SUM(BB167:BD167)</f>
        <v>156</v>
      </c>
      <c r="BB167" s="813">
        <v>2</v>
      </c>
      <c r="BC167" s="704">
        <v>81</v>
      </c>
      <c r="BD167" s="704">
        <v>73</v>
      </c>
      <c r="BE167" s="806" t="s">
        <v>158</v>
      </c>
      <c r="BF167" s="806" t="s">
        <v>208</v>
      </c>
      <c r="BG167" s="752"/>
      <c r="BH167" s="752"/>
      <c r="BJ167" s="726"/>
      <c r="BK167" s="726"/>
      <c r="BL167" s="726"/>
      <c r="BM167" s="793"/>
      <c r="BN167" s="793"/>
      <c r="BO167" s="795"/>
      <c r="BP167" s="795"/>
      <c r="BQ167" s="796"/>
    </row>
    <row r="168" spans="39:69">
      <c r="AM168" s="789"/>
      <c r="AN168" s="789"/>
      <c r="AO168" s="789"/>
      <c r="AP168" s="789"/>
      <c r="AQ168" s="752"/>
      <c r="AR168" s="857"/>
      <c r="AS168" s="801"/>
      <c r="AT168" s="801"/>
      <c r="AU168" s="801"/>
      <c r="AV168" s="801"/>
      <c r="AW168" s="801"/>
      <c r="AX168" s="803"/>
      <c r="AY168" s="732"/>
      <c r="AZ168" s="793"/>
      <c r="BA168" s="814"/>
      <c r="BB168" s="815"/>
      <c r="BC168" s="815"/>
      <c r="BD168" s="815"/>
      <c r="BE168" s="806" t="s">
        <v>159</v>
      </c>
      <c r="BF168" s="806" t="s">
        <v>160</v>
      </c>
      <c r="BG168" s="752"/>
      <c r="BH168" s="752"/>
      <c r="BJ168" s="726"/>
      <c r="BK168" s="726"/>
      <c r="BL168" s="726"/>
      <c r="BM168" s="793"/>
      <c r="BN168" s="793"/>
      <c r="BO168" s="795"/>
      <c r="BP168" s="795"/>
      <c r="BQ168" s="796"/>
    </row>
    <row r="169" spans="39:69">
      <c r="AM169" s="789"/>
      <c r="AN169" s="789"/>
      <c r="AO169" s="789"/>
      <c r="AP169" s="789"/>
      <c r="AQ169" s="790"/>
      <c r="AR169" s="856"/>
      <c r="AS169" s="801"/>
      <c r="AT169" s="801"/>
      <c r="AU169" s="801"/>
      <c r="AV169" s="801"/>
      <c r="AW169" s="801"/>
      <c r="AX169" s="816" t="s">
        <v>222</v>
      </c>
      <c r="AY169" s="817"/>
      <c r="AZ169" s="818"/>
      <c r="BA169" s="819"/>
      <c r="BB169" s="809"/>
      <c r="BC169" s="820"/>
      <c r="BE169" s="806" t="s">
        <v>159</v>
      </c>
      <c r="BF169" s="806" t="s">
        <v>161</v>
      </c>
      <c r="BG169" s="752"/>
      <c r="BH169" s="752"/>
      <c r="BJ169" s="726"/>
      <c r="BK169" s="726"/>
      <c r="BL169" s="726"/>
      <c r="BM169" s="793"/>
      <c r="BN169" s="793"/>
      <c r="BO169" s="795"/>
      <c r="BP169" s="795"/>
      <c r="BQ169" s="796"/>
    </row>
    <row r="170" spans="39:69" ht="22" thickBot="1">
      <c r="AM170" s="789"/>
      <c r="AN170" s="789"/>
      <c r="AO170" s="789"/>
      <c r="AP170" s="789"/>
      <c r="AQ170" s="790"/>
      <c r="AR170" s="856"/>
      <c r="AS170" s="801"/>
      <c r="AT170" s="801"/>
      <c r="AU170" s="801"/>
      <c r="AV170" s="801"/>
      <c r="AW170" s="801"/>
      <c r="AX170" s="821" t="s">
        <v>221</v>
      </c>
      <c r="AY170" s="822"/>
      <c r="AZ170" s="823"/>
      <c r="BA170" s="824"/>
      <c r="BB170" s="825">
        <f>'ENBW 2024'!AA5</f>
        <v>3.4293500000000003</v>
      </c>
      <c r="BC170" s="825">
        <v>3.43</v>
      </c>
      <c r="BD170" s="825">
        <v>3.43</v>
      </c>
      <c r="BE170" s="826" t="s">
        <v>159</v>
      </c>
      <c r="BF170" s="826" t="s">
        <v>162</v>
      </c>
      <c r="BG170" s="827"/>
      <c r="BH170" s="827"/>
      <c r="BI170" s="828"/>
      <c r="BJ170" s="828"/>
      <c r="BK170" s="828"/>
      <c r="BL170" s="828"/>
      <c r="BM170" s="793"/>
      <c r="BN170" s="793"/>
      <c r="BO170" s="795"/>
      <c r="BP170" s="795"/>
      <c r="BQ170" s="796"/>
    </row>
    <row r="171" spans="39:69">
      <c r="AM171" s="789"/>
      <c r="AN171" s="789"/>
      <c r="AO171" s="789"/>
      <c r="AP171" s="789"/>
      <c r="AQ171" s="790"/>
      <c r="AR171" s="856"/>
      <c r="AS171" s="774"/>
      <c r="AT171" s="774"/>
      <c r="AU171" s="774"/>
      <c r="AV171" s="774"/>
      <c r="AW171" s="774"/>
      <c r="AX171" s="829"/>
      <c r="AY171" s="790"/>
      <c r="AZ171" s="793"/>
      <c r="BA171" s="814" t="e">
        <f>BB171+BD171</f>
        <v>#REF!</v>
      </c>
      <c r="BB171" s="830"/>
      <c r="BC171" s="830" t="e">
        <f>BC166*BC170</f>
        <v>#REF!</v>
      </c>
      <c r="BD171" s="830" t="e">
        <f>(BD166+BB166)*BD170</f>
        <v>#REF!</v>
      </c>
      <c r="BE171" s="806" t="s">
        <v>159</v>
      </c>
      <c r="BF171" s="831" t="s">
        <v>163</v>
      </c>
      <c r="BG171" s="752"/>
      <c r="BH171" s="752"/>
      <c r="BJ171" s="726"/>
      <c r="BK171" s="726"/>
      <c r="BL171" s="726"/>
      <c r="BM171" s="793"/>
      <c r="BN171" s="793"/>
      <c r="BO171" s="795"/>
      <c r="BP171" s="795"/>
      <c r="BQ171" s="796"/>
    </row>
    <row r="172" spans="39:69">
      <c r="AM172" s="789"/>
      <c r="AN172" s="789"/>
      <c r="AO172" s="789"/>
      <c r="AP172" s="789"/>
      <c r="AQ172" s="790"/>
      <c r="AR172" s="856"/>
      <c r="AS172" s="774"/>
      <c r="AT172" s="774"/>
      <c r="AU172" s="774"/>
      <c r="AV172" s="774"/>
      <c r="AW172" s="774"/>
      <c r="AX172" s="829"/>
      <c r="AY172" s="790"/>
      <c r="AZ172" s="832"/>
      <c r="BA172" s="721"/>
      <c r="BB172" s="833"/>
      <c r="BC172" s="833" t="e">
        <f>BC171/BC167</f>
        <v>#REF!</v>
      </c>
      <c r="BD172" s="833" t="e">
        <f>BD171/BD167</f>
        <v>#REF!</v>
      </c>
      <c r="BE172" s="806" t="s">
        <v>159</v>
      </c>
      <c r="BF172" s="806" t="s">
        <v>680</v>
      </c>
      <c r="BG172" s="752"/>
      <c r="BH172" s="752"/>
      <c r="BJ172" s="726"/>
      <c r="BK172" s="726"/>
      <c r="BL172" s="726"/>
      <c r="BM172" s="793"/>
      <c r="BN172" s="793"/>
      <c r="BO172" s="795"/>
      <c r="BP172" s="795"/>
      <c r="BQ172" s="796"/>
    </row>
    <row r="173" spans="39:69" ht="22" thickBot="1">
      <c r="AM173" s="789"/>
      <c r="AN173" s="789"/>
      <c r="AO173" s="789"/>
      <c r="AP173" s="789"/>
      <c r="AQ173" s="790"/>
      <c r="AR173" s="856"/>
      <c r="AS173" s="774"/>
      <c r="AT173" s="774"/>
      <c r="AU173" s="774"/>
      <c r="AV173" s="774"/>
      <c r="AW173" s="774"/>
      <c r="AX173" s="829"/>
      <c r="AY173" s="790"/>
      <c r="AZ173" s="832"/>
      <c r="BA173" s="834"/>
      <c r="BB173" s="833">
        <v>1.1599999999999999</v>
      </c>
      <c r="BC173" s="833"/>
      <c r="BD173" s="833">
        <v>1.1599999999999999</v>
      </c>
      <c r="BE173" s="806"/>
      <c r="BF173" s="806" t="s">
        <v>681</v>
      </c>
      <c r="BG173" s="752"/>
      <c r="BH173" s="752"/>
      <c r="BJ173" s="726"/>
      <c r="BK173" s="726"/>
      <c r="BL173" s="726"/>
      <c r="BM173" s="793"/>
      <c r="BN173" s="793"/>
      <c r="BO173" s="795"/>
      <c r="BP173" s="795"/>
      <c r="BQ173" s="796"/>
    </row>
    <row r="174" spans="39:69" ht="22" thickBot="1">
      <c r="AM174" s="789"/>
      <c r="AN174" s="789"/>
      <c r="AO174" s="789"/>
      <c r="AP174" s="789"/>
      <c r="AQ174" s="790"/>
      <c r="AR174" s="856"/>
      <c r="AS174" s="752"/>
      <c r="AT174" s="752"/>
      <c r="AU174" s="752"/>
      <c r="AV174" s="752"/>
      <c r="AW174" s="752"/>
      <c r="AX174" s="829"/>
      <c r="AY174" s="790"/>
      <c r="AZ174" s="832"/>
      <c r="BA174" s="834"/>
      <c r="BB174" s="835">
        <v>2.5099999999999998</v>
      </c>
      <c r="BC174" s="836">
        <v>2.5099999999999998</v>
      </c>
      <c r="BD174" s="837">
        <v>2.5099999999999998</v>
      </c>
      <c r="BE174" s="838" t="s">
        <v>159</v>
      </c>
      <c r="BF174" s="838" t="s">
        <v>164</v>
      </c>
      <c r="BG174" s="839"/>
      <c r="BH174" s="839"/>
      <c r="BI174" s="840"/>
      <c r="BJ174" s="841"/>
      <c r="BK174" s="726" t="s">
        <v>1042</v>
      </c>
      <c r="BL174" s="726"/>
      <c r="BM174" s="793"/>
      <c r="BN174" s="793"/>
      <c r="BO174" s="795"/>
      <c r="BP174" s="795"/>
      <c r="BQ174" s="796"/>
    </row>
    <row r="175" spans="39:69">
      <c r="AM175" s="789"/>
      <c r="AN175" s="789"/>
      <c r="AO175" s="789"/>
      <c r="AP175" s="789"/>
      <c r="AQ175" s="790"/>
      <c r="AR175" s="856"/>
      <c r="AS175" s="801"/>
      <c r="AT175" s="801"/>
      <c r="AU175" s="801"/>
      <c r="AV175" s="801"/>
      <c r="AW175" s="801"/>
      <c r="AX175" s="842" t="s">
        <v>854</v>
      </c>
      <c r="AY175" s="818"/>
      <c r="BA175" s="716">
        <f>'ENBW 2023'!R31</f>
        <v>0</v>
      </c>
      <c r="BB175" s="814"/>
      <c r="BC175" s="843"/>
      <c r="BD175" s="844"/>
      <c r="BE175" s="806" t="s">
        <v>159</v>
      </c>
      <c r="BF175" s="806" t="s">
        <v>165</v>
      </c>
      <c r="BG175" s="752"/>
      <c r="BH175" s="752"/>
      <c r="BJ175" s="726"/>
      <c r="BK175" s="726"/>
      <c r="BL175" s="726"/>
      <c r="BM175" s="793"/>
      <c r="BN175" s="793"/>
      <c r="BO175" s="795"/>
      <c r="BP175" s="795"/>
      <c r="BQ175" s="796"/>
    </row>
    <row r="176" spans="39:69">
      <c r="AM176" s="789"/>
      <c r="AN176" s="789"/>
      <c r="AO176" s="789"/>
      <c r="AP176" s="789"/>
      <c r="AQ176" s="752"/>
      <c r="AR176" s="857"/>
      <c r="AS176" s="845"/>
      <c r="AT176" s="845"/>
      <c r="AU176" s="845"/>
      <c r="AV176" s="845"/>
      <c r="AW176" s="845"/>
      <c r="AX176" s="829"/>
      <c r="AY176" s="790"/>
      <c r="AZ176" s="793"/>
      <c r="BA176" s="716"/>
      <c r="BB176" s="716"/>
      <c r="BC176" s="716"/>
      <c r="BD176" s="846"/>
      <c r="BE176" s="752"/>
      <c r="BF176" s="752"/>
      <c r="BG176" s="752"/>
      <c r="BH176" s="752"/>
      <c r="BJ176" s="726"/>
      <c r="BK176" s="726"/>
      <c r="BL176" s="726"/>
      <c r="BM176" s="793"/>
      <c r="BN176" s="793"/>
      <c r="BO176" s="795"/>
      <c r="BP176" s="795"/>
      <c r="BQ176" s="796"/>
    </row>
    <row r="177" spans="39:69">
      <c r="AM177" s="789"/>
      <c r="AN177" s="789"/>
      <c r="AO177" s="789"/>
      <c r="AP177" s="789"/>
      <c r="AQ177" s="752"/>
      <c r="AR177" s="857"/>
      <c r="AS177" s="801"/>
      <c r="AT177" s="801"/>
      <c r="AU177" s="801"/>
      <c r="AV177" s="801"/>
      <c r="AW177" s="801"/>
      <c r="AX177" s="842" t="s">
        <v>209</v>
      </c>
      <c r="AY177" s="818"/>
      <c r="BA177" s="716" t="e">
        <f>#REF!</f>
        <v>#REF!</v>
      </c>
      <c r="BB177" s="716"/>
      <c r="BC177" s="716"/>
      <c r="BD177" s="846"/>
      <c r="BE177" s="752"/>
      <c r="BF177" s="752"/>
      <c r="BG177" s="752"/>
      <c r="BH177" s="752"/>
      <c r="BJ177" s="726"/>
      <c r="BK177" s="726"/>
      <c r="BL177" s="726"/>
      <c r="BM177" s="793"/>
      <c r="BN177" s="793"/>
      <c r="BO177" s="795"/>
      <c r="BP177" s="795"/>
      <c r="BQ177" s="796"/>
    </row>
    <row r="178" spans="39:69">
      <c r="AM178" s="789"/>
      <c r="AN178" s="789"/>
      <c r="AO178" s="789"/>
      <c r="AP178" s="789"/>
      <c r="AQ178" s="790"/>
      <c r="AR178" s="856"/>
      <c r="AS178" s="752"/>
      <c r="AT178" s="752"/>
      <c r="AU178" s="752"/>
      <c r="AV178" s="752"/>
      <c r="AW178" s="752"/>
      <c r="AX178" s="829"/>
      <c r="AY178" s="790"/>
      <c r="AZ178" s="793"/>
      <c r="BA178" s="716"/>
      <c r="BB178" s="716"/>
      <c r="BC178" s="716"/>
      <c r="BD178" s="846"/>
      <c r="BE178" s="752"/>
      <c r="BF178" s="752"/>
      <c r="BG178" s="752"/>
      <c r="BH178" s="752"/>
      <c r="BJ178" s="726"/>
      <c r="BK178" s="726"/>
      <c r="BL178" s="726"/>
      <c r="BM178" s="793"/>
      <c r="BN178" s="732"/>
      <c r="BO178" s="847"/>
      <c r="BP178" s="847"/>
      <c r="BQ178" s="847"/>
    </row>
    <row r="179" spans="39:69">
      <c r="AM179" s="789"/>
      <c r="AN179" s="789"/>
      <c r="AO179" s="789"/>
      <c r="AP179" s="789"/>
      <c r="AQ179" s="790"/>
      <c r="AR179" s="856"/>
      <c r="AS179" s="801"/>
      <c r="AT179" s="801"/>
      <c r="AU179" s="801"/>
      <c r="AV179" s="801"/>
      <c r="AW179" s="801"/>
      <c r="AX179" s="829"/>
      <c r="AY179" s="790"/>
      <c r="AZ179" s="793" t="s">
        <v>679</v>
      </c>
      <c r="BA179" s="716" t="e">
        <f>BA177-BA175</f>
        <v>#REF!</v>
      </c>
      <c r="BB179" s="716"/>
      <c r="BC179" s="716"/>
      <c r="BD179" s="846"/>
      <c r="BE179" s="752"/>
      <c r="BF179" s="752"/>
      <c r="BG179" s="752"/>
      <c r="BH179" s="752"/>
      <c r="BJ179" s="726"/>
      <c r="BK179" s="726"/>
      <c r="BL179" s="726"/>
      <c r="BM179" s="793"/>
      <c r="BN179" s="793"/>
      <c r="BO179" s="795"/>
      <c r="BP179" s="795"/>
      <c r="BQ179" s="796"/>
    </row>
    <row r="180" spans="39:69">
      <c r="AM180" s="789"/>
      <c r="AN180" s="789"/>
      <c r="AO180" s="789"/>
      <c r="AP180" s="789"/>
      <c r="AQ180" s="790"/>
      <c r="AR180" s="856"/>
      <c r="AS180" s="801"/>
      <c r="AT180" s="801"/>
      <c r="AU180" s="801"/>
      <c r="AV180" s="801"/>
      <c r="AW180" s="801"/>
      <c r="AX180" s="848"/>
      <c r="AY180" s="849"/>
      <c r="AZ180" s="793"/>
      <c r="BA180" s="716"/>
      <c r="BB180" s="716"/>
      <c r="BC180" s="716"/>
      <c r="BD180" s="850"/>
      <c r="BE180" s="806" t="s">
        <v>159</v>
      </c>
      <c r="BF180" s="806" t="s">
        <v>166</v>
      </c>
      <c r="BG180" s="752"/>
      <c r="BH180" s="752"/>
      <c r="BJ180" s="726"/>
      <c r="BK180" s="726"/>
      <c r="BL180" s="726"/>
      <c r="BM180" s="793"/>
      <c r="BN180" s="793"/>
      <c r="BO180" s="795"/>
      <c r="BP180" s="795"/>
      <c r="BQ180" s="796"/>
    </row>
    <row r="181" spans="39:69">
      <c r="AM181" s="789"/>
      <c r="AN181" s="789"/>
      <c r="AO181" s="789"/>
      <c r="AP181" s="789"/>
      <c r="AQ181" s="790"/>
      <c r="AR181" s="856"/>
      <c r="AS181" s="801"/>
      <c r="AT181" s="801"/>
      <c r="AU181" s="801"/>
      <c r="AV181" s="801"/>
      <c r="AW181" s="801"/>
      <c r="AX181" s="803"/>
      <c r="AY181" s="732"/>
      <c r="AZ181" s="793"/>
      <c r="BA181" s="793"/>
      <c r="BB181" s="793"/>
      <c r="BC181" s="793"/>
      <c r="BD181" s="752"/>
      <c r="BE181" s="752"/>
      <c r="BF181" s="752"/>
      <c r="BG181" s="752"/>
      <c r="BH181" s="752"/>
      <c r="BJ181" s="726"/>
      <c r="BK181" s="726"/>
      <c r="BL181" s="726"/>
      <c r="BM181" s="793"/>
      <c r="BN181" s="793"/>
      <c r="BO181" s="795"/>
      <c r="BP181" s="795"/>
      <c r="BQ181" s="796"/>
    </row>
    <row r="182" spans="39:69">
      <c r="AM182" s="789"/>
      <c r="AN182" s="789"/>
      <c r="AO182" s="789"/>
      <c r="AP182" s="789"/>
      <c r="AQ182" s="790"/>
      <c r="AR182" s="856"/>
      <c r="AS182" s="801"/>
      <c r="AT182" s="801"/>
      <c r="AU182" s="801"/>
      <c r="AV182" s="801"/>
      <c r="AW182" s="801"/>
      <c r="AX182" s="802"/>
      <c r="BD182" s="851"/>
      <c r="BJ182" s="726"/>
      <c r="BK182" s="726"/>
      <c r="BL182" s="726"/>
      <c r="BM182" s="793"/>
      <c r="BN182" s="793"/>
      <c r="BO182" s="795"/>
      <c r="BP182" s="795"/>
      <c r="BQ182" s="796"/>
    </row>
    <row r="183" spans="39:69">
      <c r="AM183" s="789"/>
      <c r="AN183" s="789"/>
      <c r="AO183" s="789"/>
      <c r="AP183" s="789"/>
      <c r="AQ183" s="790"/>
      <c r="AR183" s="856"/>
      <c r="AS183" s="801"/>
      <c r="AT183" s="801"/>
      <c r="AU183" s="801"/>
      <c r="AV183" s="801"/>
      <c r="AW183" s="801"/>
      <c r="AX183" s="802"/>
      <c r="BJ183" s="726"/>
      <c r="BK183" s="726"/>
      <c r="BL183" s="726"/>
      <c r="BM183" s="793"/>
      <c r="BN183" s="793"/>
      <c r="BO183" s="795"/>
      <c r="BP183" s="795"/>
      <c r="BQ183" s="796"/>
    </row>
    <row r="184" spans="39:69" ht="22" thickBot="1">
      <c r="AM184" s="789"/>
      <c r="AN184" s="789"/>
      <c r="AO184" s="789"/>
      <c r="AP184" s="789"/>
      <c r="AQ184" s="790"/>
      <c r="AR184" s="856"/>
      <c r="AS184" s="845"/>
      <c r="AT184" s="845"/>
      <c r="AU184" s="845"/>
      <c r="AV184" s="845"/>
      <c r="AW184" s="845"/>
      <c r="AX184" s="852"/>
      <c r="AY184" s="853"/>
      <c r="AZ184" s="853"/>
      <c r="BA184" s="854"/>
      <c r="BB184" s="854"/>
      <c r="BC184" s="854"/>
      <c r="BD184" s="854"/>
      <c r="BE184" s="854"/>
      <c r="BF184" s="854"/>
      <c r="BG184" s="854"/>
      <c r="BH184" s="854"/>
      <c r="BJ184" s="726"/>
      <c r="BK184" s="726"/>
      <c r="BL184" s="726"/>
      <c r="BM184" s="793"/>
      <c r="BN184" s="793"/>
      <c r="BO184" s="795"/>
      <c r="BP184" s="795"/>
      <c r="BQ184" s="796"/>
    </row>
    <row r="185" spans="39:69">
      <c r="AM185" s="789"/>
      <c r="AN185" s="789"/>
      <c r="AO185" s="789"/>
      <c r="AP185" s="789"/>
      <c r="AQ185" s="732"/>
      <c r="AR185" s="857"/>
      <c r="AS185" s="801"/>
      <c r="AT185" s="801"/>
      <c r="AU185" s="801"/>
      <c r="AV185" s="801"/>
      <c r="AW185" s="801"/>
      <c r="AX185" s="792"/>
      <c r="AY185" s="792"/>
      <c r="AZ185" s="792"/>
      <c r="BA185" s="801"/>
      <c r="BB185" s="793"/>
      <c r="BC185" s="793"/>
      <c r="BD185" s="793"/>
      <c r="BE185" s="793"/>
      <c r="BF185" s="794"/>
      <c r="BG185" s="794"/>
      <c r="BH185" s="794"/>
      <c r="BI185" s="794"/>
      <c r="BJ185" s="793"/>
      <c r="BK185" s="793"/>
      <c r="BL185" s="793"/>
      <c r="BM185" s="832"/>
      <c r="BN185" s="793"/>
      <c r="BO185" s="795"/>
      <c r="BP185" s="795"/>
      <c r="BQ185" s="796"/>
    </row>
    <row r="186" spans="39:69">
      <c r="AM186" s="789"/>
      <c r="AN186" s="789"/>
      <c r="AO186" s="789"/>
      <c r="AP186" s="789"/>
      <c r="AS186" s="801"/>
      <c r="AT186" s="801"/>
      <c r="AU186" s="801"/>
      <c r="AV186" s="801"/>
      <c r="AW186" s="801"/>
      <c r="AX186" s="792"/>
      <c r="AY186" s="792"/>
      <c r="AZ186" s="792"/>
      <c r="BA186" s="801"/>
      <c r="BB186" s="793"/>
      <c r="BC186" s="793"/>
      <c r="BD186" s="793"/>
      <c r="BE186" s="793"/>
      <c r="BF186" s="794"/>
      <c r="BG186" s="794"/>
      <c r="BH186" s="794"/>
      <c r="BI186" s="794"/>
      <c r="BJ186" s="793"/>
      <c r="BK186" s="793"/>
      <c r="BL186" s="793"/>
      <c r="BM186" s="832"/>
      <c r="BN186" s="793"/>
      <c r="BO186" s="795"/>
      <c r="BP186" s="795"/>
      <c r="BQ186" s="796"/>
    </row>
  </sheetData>
  <conditionalFormatting sqref="AL16:AL19 AL21:AL35 AL1:AL14 AL139:AL1048576 AL37:AL137">
    <cfRule type="cellIs" dxfId="8" priority="35" operator="lessThan">
      <formula>0</formula>
    </cfRule>
  </conditionalFormatting>
  <conditionalFormatting sqref="BF159:BF186">
    <cfRule type="cellIs" dxfId="7" priority="184" operator="lessThan">
      <formula>0</formula>
    </cfRule>
  </conditionalFormatting>
  <conditionalFormatting sqref="AP1:AP1048576">
    <cfRule type="cellIs" dxfId="6" priority="3" operator="lessThanOrEqual">
      <formula>0</formula>
    </cfRule>
  </conditionalFormatting>
  <conditionalFormatting sqref="AS172:AW173">
    <cfRule type="cellIs" dxfId="5" priority="185" stopIfTrue="1" operator="between">
      <formula>15342</formula>
      <formula>15706</formula>
    </cfRule>
    <cfRule type="cellIs" dxfId="4" priority="186" stopIfTrue="1" operator="between">
      <formula>13516</formula>
      <formula>13880</formula>
    </cfRule>
    <cfRule type="cellIs" dxfId="3" priority="187" stopIfTrue="1" operator="between">
      <formula>11689</formula>
      <formula>12054</formula>
    </cfRule>
  </conditionalFormatting>
  <conditionalFormatting sqref="AY1:AY3 AY139:AY1048576 AY5:AY7 AY9:AY10 AY137 AY12:AY135">
    <cfRule type="cellIs" dxfId="2" priority="37" operator="lessThan">
      <formula>0</formula>
    </cfRule>
    <cfRule type="cellIs" dxfId="1" priority="38" operator="greaterThan">
      <formula>0</formula>
    </cfRule>
  </conditionalFormatting>
  <conditionalFormatting sqref="BB164:BB165">
    <cfRule type="cellIs" dxfId="0" priority="181" operator="lessThan">
      <formula>0</formula>
    </cfRule>
  </conditionalFormatting>
  <hyperlinks>
    <hyperlink ref="L8" r:id="rId1" xr:uid="{00000000-0004-0000-0000-000000000000}"/>
    <hyperlink ref="L9" r:id="rId2" xr:uid="{00000000-0004-0000-0000-000001000000}"/>
    <hyperlink ref="L3" r:id="rId3" xr:uid="{00000000-0004-0000-0000-000002000000}"/>
    <hyperlink ref="L25" r:id="rId4" xr:uid="{00000000-0004-0000-0000-000003000000}"/>
    <hyperlink ref="L39" r:id="rId5" xr:uid="{00000000-0004-0000-0000-000004000000}"/>
    <hyperlink ref="L64" r:id="rId6" xr:uid="{00000000-0004-0000-0000-000005000000}"/>
    <hyperlink ref="L35" r:id="rId7" xr:uid="{00000000-0004-0000-0000-000006000000}"/>
    <hyperlink ref="L21" r:id="rId8" xr:uid="{00000000-0004-0000-0000-000007000000}"/>
    <hyperlink ref="L28" r:id="rId9" xr:uid="{00000000-0004-0000-0000-000008000000}"/>
    <hyperlink ref="L40" r:id="rId10" xr:uid="{00000000-0004-0000-0000-000009000000}"/>
    <hyperlink ref="L49" r:id="rId11" xr:uid="{00000000-0004-0000-0000-00000A000000}"/>
    <hyperlink ref="L14" r:id="rId12" xr:uid="{00000000-0004-0000-0000-00000B000000}"/>
    <hyperlink ref="L65" r:id="rId13" xr:uid="{00000000-0004-0000-0000-00000C000000}"/>
    <hyperlink ref="L46" r:id="rId14" xr:uid="{00000000-0004-0000-0000-00000D000000}"/>
    <hyperlink ref="L17" r:id="rId15" xr:uid="{00000000-0004-0000-0000-00000E000000}"/>
    <hyperlink ref="L53" r:id="rId16" xr:uid="{00000000-0004-0000-0000-00000F000000}"/>
    <hyperlink ref="L61" r:id="rId17" xr:uid="{00000000-0004-0000-0000-000010000000}"/>
    <hyperlink ref="L60" r:id="rId18" xr:uid="{00000000-0004-0000-0000-000011000000}"/>
    <hyperlink ref="L42" r:id="rId19" xr:uid="{00000000-0004-0000-0000-000012000000}"/>
    <hyperlink ref="L23" r:id="rId20" xr:uid="{00000000-0004-0000-0000-000014000000}"/>
    <hyperlink ref="L51" r:id="rId21" xr:uid="{00000000-0004-0000-0000-000015000000}"/>
    <hyperlink ref="L5" r:id="rId22" xr:uid="{00000000-0004-0000-0000-000016000000}"/>
    <hyperlink ref="L6" r:id="rId23" xr:uid="{00000000-0004-0000-0000-000017000000}"/>
    <hyperlink ref="L140" r:id="rId24" xr:uid="{00000000-0004-0000-0000-000018000000}"/>
    <hyperlink ref="L154" r:id="rId25" xr:uid="{00000000-0004-0000-0000-000019000000}"/>
    <hyperlink ref="L121" r:id="rId26" xr:uid="{00000000-0004-0000-0000-00001A000000}"/>
    <hyperlink ref="L147" r:id="rId27" xr:uid="{00000000-0004-0000-0000-00001B000000}"/>
    <hyperlink ref="L120" r:id="rId28" xr:uid="{00000000-0004-0000-0000-00001C000000}"/>
    <hyperlink ref="L111" r:id="rId29" xr:uid="{00000000-0004-0000-0000-00001D000000}"/>
    <hyperlink ref="L118" r:id="rId30" xr:uid="{00000000-0004-0000-0000-00001F000000}"/>
    <hyperlink ref="L76" r:id="rId31" xr:uid="{00000000-0004-0000-0000-000020000000}"/>
    <hyperlink ref="L129" r:id="rId32" xr:uid="{00000000-0004-0000-0000-000021000000}"/>
    <hyperlink ref="L146" r:id="rId33" xr:uid="{00000000-0004-0000-0000-000022000000}"/>
    <hyperlink ref="L99" r:id="rId34" xr:uid="{00000000-0004-0000-0000-000023000000}"/>
    <hyperlink ref="L114" r:id="rId35" xr:uid="{00000000-0004-0000-0000-000024000000}"/>
    <hyperlink ref="L133" r:id="rId36" xr:uid="{00000000-0004-0000-0000-000025000000}"/>
    <hyperlink ref="L101" r:id="rId37" xr:uid="{00000000-0004-0000-0000-000026000000}"/>
    <hyperlink ref="L106" r:id="rId38" xr:uid="{00000000-0004-0000-0000-000027000000}"/>
    <hyperlink ref="L91" r:id="rId39" display="mailto:Kristijan.Kavas@gmx.de" xr:uid="{00000000-0004-0000-0000-000028000000}"/>
    <hyperlink ref="L110" r:id="rId40" xr:uid="{00000000-0004-0000-0000-000029000000}"/>
    <hyperlink ref="L96" r:id="rId41" xr:uid="{00000000-0004-0000-0000-00002A000000}"/>
    <hyperlink ref="L105" r:id="rId42" xr:uid="{00000000-0004-0000-0000-00002B000000}"/>
    <hyperlink ref="L94" r:id="rId43" xr:uid="{00000000-0004-0000-0000-00002C000000}"/>
    <hyperlink ref="L152" r:id="rId44" xr:uid="{00000000-0004-0000-0000-00002D000000}"/>
    <hyperlink ref="L123" r:id="rId45" xr:uid="{00000000-0004-0000-0000-00002E000000}"/>
    <hyperlink ref="L119" r:id="rId46" xr:uid="{00000000-0004-0000-0000-00002F000000}"/>
    <hyperlink ref="L112" r:id="rId47" xr:uid="{00000000-0004-0000-0000-000030000000}"/>
    <hyperlink ref="L88" r:id="rId48" xr:uid="{00000000-0004-0000-0000-000031000000}"/>
    <hyperlink ref="L85" r:id="rId49" display="mailto:martin.haubner@icloud.com" xr:uid="{00000000-0004-0000-0000-000032000000}"/>
    <hyperlink ref="L108" r:id="rId50" xr:uid="{00000000-0004-0000-0000-000033000000}"/>
    <hyperlink ref="L81" r:id="rId51" xr:uid="{00000000-0004-0000-0000-000034000000}"/>
    <hyperlink ref="L62" r:id="rId52" xr:uid="{00000000-0004-0000-0000-000036000000}"/>
    <hyperlink ref="L72" r:id="rId53" xr:uid="{00000000-0004-0000-0000-000037000000}"/>
    <hyperlink ref="L15" r:id="rId54" xr:uid="{00000000-0004-0000-0000-00003C000000}"/>
    <hyperlink ref="L20" r:id="rId55" xr:uid="{00000000-0004-0000-0000-00003D000000}"/>
    <hyperlink ref="L27" r:id="rId56" xr:uid="{00000000-0004-0000-0000-00003E000000}"/>
    <hyperlink ref="L36" r:id="rId57" xr:uid="{00000000-0004-0000-0000-00003F000000}"/>
    <hyperlink ref="L50" r:id="rId58" xr:uid="{00000000-0004-0000-0000-000040000000}"/>
    <hyperlink ref="L52" r:id="rId59" xr:uid="{00000000-0004-0000-0000-000041000000}"/>
    <hyperlink ref="L139" r:id="rId60" xr:uid="{00000000-0004-0000-0000-000042000000}"/>
    <hyperlink ref="L141" r:id="rId61" xr:uid="{00000000-0004-0000-0000-000043000000}"/>
    <hyperlink ref="L142" r:id="rId62" xr:uid="{00000000-0004-0000-0000-000044000000}"/>
    <hyperlink ref="L75" r:id="rId63" xr:uid="{00000000-0004-0000-0000-000046000000}"/>
    <hyperlink ref="L12" r:id="rId64" xr:uid="{00000000-0004-0000-0000-000045000000}"/>
  </hyperlinks>
  <pageMargins left="0.23622047244094491" right="0.19685039370078741" top="0.78740157480314965" bottom="0.23622047244094491" header="0.31496062992125984" footer="0.31496062992125984"/>
  <pageSetup paperSize="8" scale="35" fitToHeight="0" orientation="landscape" r:id="rId65"/>
  <headerFooter>
    <oddHeader>&amp;C&amp;14&amp;F</oddHeader>
  </headerFooter>
  <rowBreaks count="1" manualBreakCount="1">
    <brk id="73" max="67" man="1"/>
  </rowBreaks>
  <legacy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9"/>
  <sheetViews>
    <sheetView topLeftCell="B1" zoomScale="80" zoomScaleNormal="80" workbookViewId="0">
      <selection activeCell="Z20" sqref="Z20"/>
    </sheetView>
  </sheetViews>
  <sheetFormatPr baseColWidth="10" defaultRowHeight="15"/>
  <cols>
    <col min="1" max="1" width="23.6640625" bestFit="1" customWidth="1"/>
    <col min="2" max="2" width="38.33203125" bestFit="1" customWidth="1"/>
    <col min="3" max="3" width="25.33203125" customWidth="1"/>
    <col min="4" max="4" width="9.83203125" bestFit="1" customWidth="1"/>
    <col min="5" max="5" width="20.33203125" bestFit="1" customWidth="1"/>
    <col min="7" max="7" width="11.5" style="91"/>
    <col min="10" max="10" width="4.5" customWidth="1"/>
    <col min="15" max="15" width="13.1640625" customWidth="1"/>
    <col min="17" max="17" width="11.83203125" bestFit="1" customWidth="1"/>
    <col min="18" max="18" width="12.5" customWidth="1"/>
    <col min="20" max="20" width="13.33203125" customWidth="1"/>
  </cols>
  <sheetData>
    <row r="1" spans="1:27" ht="40.5" customHeight="1">
      <c r="A1" s="669" t="s">
        <v>1035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</row>
    <row r="2" spans="1:27" ht="16" thickBot="1">
      <c r="A2" s="369"/>
      <c r="B2" s="369"/>
      <c r="C2" s="369"/>
      <c r="D2" s="370"/>
      <c r="E2" s="370"/>
      <c r="F2" s="369"/>
      <c r="G2" s="370"/>
      <c r="H2" s="370"/>
      <c r="I2" s="370">
        <v>38.630000000000003</v>
      </c>
      <c r="J2" s="370"/>
      <c r="K2" s="370"/>
      <c r="L2" s="369"/>
      <c r="M2" s="369"/>
      <c r="N2" s="369"/>
      <c r="O2" s="369"/>
      <c r="P2" s="369"/>
      <c r="Q2" s="369"/>
      <c r="R2" s="371"/>
      <c r="S2" s="371"/>
      <c r="T2" s="369"/>
      <c r="U2" s="369"/>
      <c r="V2" s="369"/>
      <c r="W2" s="369"/>
      <c r="X2" s="369"/>
      <c r="Y2" s="369"/>
    </row>
    <row r="3" spans="1:27" ht="98">
      <c r="A3" s="353" t="s">
        <v>736</v>
      </c>
      <c r="B3" s="354"/>
      <c r="C3" s="354" t="s">
        <v>185</v>
      </c>
      <c r="D3" s="354" t="s">
        <v>186</v>
      </c>
      <c r="E3" s="354" t="s">
        <v>187</v>
      </c>
      <c r="F3" s="354" t="s">
        <v>188</v>
      </c>
      <c r="G3" s="354" t="s">
        <v>189</v>
      </c>
      <c r="H3" s="355" t="s">
        <v>936</v>
      </c>
      <c r="I3" s="354" t="s">
        <v>190</v>
      </c>
      <c r="J3" s="354"/>
      <c r="K3" s="354" t="s">
        <v>652</v>
      </c>
      <c r="L3" s="354" t="s">
        <v>655</v>
      </c>
      <c r="M3" s="355" t="s">
        <v>656</v>
      </c>
      <c r="N3" s="355" t="s">
        <v>944</v>
      </c>
      <c r="O3" s="354" t="s">
        <v>192</v>
      </c>
      <c r="P3" s="355" t="s">
        <v>658</v>
      </c>
      <c r="Q3" s="354" t="s">
        <v>193</v>
      </c>
      <c r="R3" s="354" t="s">
        <v>657</v>
      </c>
      <c r="S3" s="356" t="s">
        <v>654</v>
      </c>
      <c r="T3" s="296" t="s">
        <v>195</v>
      </c>
      <c r="U3" s="7" t="s">
        <v>196</v>
      </c>
      <c r="V3" s="7" t="s">
        <v>654</v>
      </c>
      <c r="W3" s="7" t="s">
        <v>653</v>
      </c>
      <c r="X3" s="57" t="s">
        <v>197</v>
      </c>
      <c r="Y3" s="7" t="s">
        <v>198</v>
      </c>
    </row>
    <row r="4" spans="1:27" ht="54" customHeight="1" thickBot="1">
      <c r="A4" s="230"/>
      <c r="B4" s="379"/>
      <c r="C4" s="21"/>
      <c r="D4" s="447"/>
      <c r="E4" s="447"/>
      <c r="F4" s="367"/>
      <c r="G4" s="447"/>
      <c r="H4" s="36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32"/>
      <c r="W4" s="232"/>
      <c r="X4" s="231"/>
      <c r="Y4" s="231"/>
    </row>
    <row r="5" spans="1:27">
      <c r="A5" s="230" t="s">
        <v>310</v>
      </c>
      <c r="B5" s="595" t="s">
        <v>1036</v>
      </c>
      <c r="C5" s="21" t="s">
        <v>1037</v>
      </c>
      <c r="D5" s="447">
        <v>334</v>
      </c>
      <c r="E5" s="598">
        <v>3668</v>
      </c>
      <c r="F5" s="664"/>
      <c r="G5" s="447"/>
      <c r="H5" s="367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32"/>
      <c r="W5" s="232"/>
      <c r="X5" s="231"/>
      <c r="Y5" s="231"/>
      <c r="AA5">
        <f>3.205*1.07</f>
        <v>3.4293500000000003</v>
      </c>
    </row>
    <row r="6" spans="1:27">
      <c r="A6" s="230"/>
      <c r="B6" s="379"/>
      <c r="C6" s="21" t="s">
        <v>1037</v>
      </c>
      <c r="D6" s="447"/>
      <c r="E6" s="512"/>
      <c r="F6" s="367">
        <v>431.755</v>
      </c>
      <c r="G6" s="447"/>
      <c r="H6" s="367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32"/>
      <c r="W6" s="232"/>
      <c r="X6" s="231"/>
      <c r="Y6" s="231"/>
    </row>
    <row r="7" spans="1:27">
      <c r="A7" s="230"/>
      <c r="B7" s="379"/>
      <c r="C7" s="21"/>
      <c r="D7" s="660">
        <v>334</v>
      </c>
      <c r="E7" s="447"/>
      <c r="F7" s="367"/>
      <c r="G7" s="660">
        <f>SUM(G5:G6)</f>
        <v>0</v>
      </c>
      <c r="H7" s="367"/>
      <c r="I7" s="21"/>
      <c r="J7" s="21"/>
      <c r="K7" s="21"/>
      <c r="L7" s="21">
        <v>170</v>
      </c>
      <c r="M7" s="21"/>
      <c r="N7" s="21"/>
      <c r="O7" s="21"/>
      <c r="P7" s="21"/>
      <c r="Q7" s="21"/>
      <c r="R7" s="21"/>
      <c r="S7" s="21"/>
      <c r="T7" s="21"/>
      <c r="U7" s="21"/>
      <c r="V7" s="232"/>
      <c r="W7" s="232"/>
      <c r="X7" s="231"/>
      <c r="Y7" s="231"/>
    </row>
    <row r="8" spans="1:27" ht="54" customHeight="1" thickBot="1">
      <c r="A8" s="230"/>
      <c r="B8" s="379"/>
      <c r="C8" s="21"/>
      <c r="D8" s="447"/>
      <c r="E8" s="447"/>
      <c r="F8" s="367"/>
      <c r="G8" s="447"/>
      <c r="H8" s="367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32"/>
      <c r="W8" s="232"/>
      <c r="X8" s="231"/>
      <c r="Y8" s="231"/>
    </row>
    <row r="9" spans="1:27" s="110" customFormat="1">
      <c r="A9" s="670" t="s">
        <v>154</v>
      </c>
      <c r="B9" s="595" t="s">
        <v>934</v>
      </c>
      <c r="C9" s="596" t="s">
        <v>935</v>
      </c>
      <c r="D9" s="597">
        <f>365+30</f>
        <v>395</v>
      </c>
      <c r="E9" s="598">
        <v>2972</v>
      </c>
      <c r="F9" s="598">
        <v>3668</v>
      </c>
      <c r="G9" s="599">
        <f>F9-E9</f>
        <v>696</v>
      </c>
      <c r="H9" s="600"/>
      <c r="I9" s="596">
        <f>(((53.92+38.63)/365)*D9)</f>
        <v>100.1568493150685</v>
      </c>
      <c r="J9" s="596"/>
      <c r="K9" s="596">
        <v>1.07</v>
      </c>
      <c r="L9" s="596">
        <f>ROUND(1.07*I9,2)</f>
        <v>107.17</v>
      </c>
      <c r="M9" s="601"/>
      <c r="N9" s="596">
        <v>2.98</v>
      </c>
      <c r="O9" s="596">
        <f>G9*N9</f>
        <v>2074.08</v>
      </c>
      <c r="P9" s="596"/>
      <c r="Q9" s="596">
        <f>O9*K9</f>
        <v>2219.2656000000002</v>
      </c>
      <c r="R9" s="596">
        <f>L9+Q9</f>
        <v>2326.4356000000002</v>
      </c>
      <c r="S9" s="596"/>
      <c r="T9" s="602"/>
      <c r="U9" s="560"/>
      <c r="V9" s="561"/>
      <c r="W9" s="20"/>
      <c r="X9" s="21"/>
      <c r="Y9" s="21"/>
    </row>
    <row r="10" spans="1:27" s="110" customFormat="1" ht="16" thickBot="1">
      <c r="A10" s="671"/>
      <c r="B10" s="565"/>
      <c r="C10" s="560"/>
      <c r="D10" s="566"/>
      <c r="E10" s="567"/>
      <c r="F10" s="567"/>
      <c r="G10" s="566"/>
      <c r="H10" s="565"/>
      <c r="I10" s="560"/>
      <c r="J10" s="560"/>
      <c r="K10" s="560"/>
      <c r="L10" s="560"/>
      <c r="M10" s="560"/>
      <c r="N10" s="560"/>
      <c r="O10" s="560"/>
      <c r="P10" s="562"/>
      <c r="Q10" s="560"/>
      <c r="R10" s="560"/>
      <c r="S10" s="560"/>
      <c r="T10" s="603"/>
      <c r="U10" s="560"/>
      <c r="V10" s="561"/>
      <c r="W10" s="20"/>
      <c r="X10" s="21"/>
      <c r="Y10" s="21"/>
    </row>
    <row r="11" spans="1:27" s="110" customFormat="1" ht="16" thickBot="1">
      <c r="A11" s="671"/>
      <c r="B11" s="568" t="s">
        <v>940</v>
      </c>
      <c r="C11" s="560"/>
      <c r="D11" s="569">
        <f>SUM(D9:D10)</f>
        <v>395</v>
      </c>
      <c r="E11" s="566"/>
      <c r="F11" s="565"/>
      <c r="G11" s="651">
        <f>SUM(G9:G10)</f>
        <v>696</v>
      </c>
      <c r="H11" s="565"/>
      <c r="I11" s="563">
        <f>SUM(I9:I10)</f>
        <v>100.1568493150685</v>
      </c>
      <c r="J11" s="560"/>
      <c r="K11" s="560"/>
      <c r="L11" s="652">
        <f>SUM(L9:L10)</f>
        <v>107.17</v>
      </c>
      <c r="M11" s="560"/>
      <c r="N11" s="560"/>
      <c r="O11" s="563">
        <f>SUM(O9:O10)</f>
        <v>2074.08</v>
      </c>
      <c r="P11" s="560"/>
      <c r="Q11" s="575"/>
      <c r="R11" s="574">
        <f>SUM(R9:R10)</f>
        <v>2326.4356000000002</v>
      </c>
      <c r="S11" s="560"/>
      <c r="T11" s="604"/>
      <c r="U11" s="560"/>
      <c r="V11" s="561"/>
      <c r="W11" s="20"/>
      <c r="X11" s="21"/>
      <c r="Y11" s="21"/>
    </row>
    <row r="12" spans="1:27">
      <c r="A12" s="605"/>
      <c r="B12" s="379"/>
      <c r="C12" s="21"/>
      <c r="D12" s="447"/>
      <c r="E12" s="447"/>
      <c r="F12" s="367"/>
      <c r="G12" s="447"/>
      <c r="H12" s="367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606"/>
      <c r="U12" s="21"/>
      <c r="V12" s="232"/>
      <c r="W12" s="232"/>
      <c r="X12" s="231"/>
      <c r="Y12" s="231"/>
    </row>
    <row r="13" spans="1:27" s="110" customFormat="1">
      <c r="A13" s="672" t="s">
        <v>154</v>
      </c>
      <c r="B13" s="607" t="s">
        <v>845</v>
      </c>
      <c r="C13" s="608" t="s">
        <v>844</v>
      </c>
      <c r="D13" s="609">
        <f>76+224+22</f>
        <v>322</v>
      </c>
      <c r="E13" s="610">
        <v>2324</v>
      </c>
      <c r="F13" s="610">
        <v>2858</v>
      </c>
      <c r="G13" s="611">
        <f>F13-E13</f>
        <v>534</v>
      </c>
      <c r="H13" s="607">
        <v>130.96</v>
      </c>
      <c r="I13" s="608">
        <f>((130.96/365)*D13)</f>
        <v>115.53183561643837</v>
      </c>
      <c r="J13" s="608"/>
      <c r="K13" s="608">
        <v>1.07</v>
      </c>
      <c r="L13" s="608">
        <f>ROUND(1.07*I13,2)</f>
        <v>123.62</v>
      </c>
      <c r="M13" s="608">
        <f>(26.87+80.87+7.89)*1.07</f>
        <v>123.72410000000002</v>
      </c>
      <c r="N13" s="608">
        <v>271.58879999999999</v>
      </c>
      <c r="O13" s="608">
        <f>G13*2.715888</f>
        <v>1450.2841920000001</v>
      </c>
      <c r="P13" s="608">
        <f>342.62+1004.88+97.77</f>
        <v>1445.27</v>
      </c>
      <c r="Q13" s="608">
        <f>ROUND(1.07*P13,2)</f>
        <v>1546.44</v>
      </c>
      <c r="R13" s="608">
        <f>L13+Q13</f>
        <v>1670.06</v>
      </c>
      <c r="S13" s="608"/>
      <c r="T13" s="612">
        <v>1669.63</v>
      </c>
      <c r="U13" s="560"/>
      <c r="V13" s="561"/>
      <c r="W13" s="20"/>
      <c r="X13" s="21"/>
      <c r="Y13" s="21"/>
    </row>
    <row r="14" spans="1:27" s="110" customFormat="1" ht="16" thickBot="1">
      <c r="A14" s="672"/>
      <c r="B14" s="607" t="s">
        <v>842</v>
      </c>
      <c r="C14" s="608" t="s">
        <v>843</v>
      </c>
      <c r="D14" s="609">
        <f>50+2</f>
        <v>52</v>
      </c>
      <c r="E14" s="610">
        <v>2858</v>
      </c>
      <c r="F14" s="610">
        <v>2972</v>
      </c>
      <c r="G14" s="609">
        <f>F14-E14</f>
        <v>114</v>
      </c>
      <c r="H14" s="607">
        <v>130.96</v>
      </c>
      <c r="I14" s="608">
        <f>((130.96/365)*D14)</f>
        <v>18.657315068493155</v>
      </c>
      <c r="J14" s="608"/>
      <c r="K14" s="608">
        <v>1.07</v>
      </c>
      <c r="L14" s="608">
        <f>ROUND(1.07*I14,2)</f>
        <v>19.96</v>
      </c>
      <c r="M14" s="608">
        <v>23.03</v>
      </c>
      <c r="N14" s="608">
        <v>271.58879999999999</v>
      </c>
      <c r="O14" s="608">
        <f>G14*2.715888</f>
        <v>309.61123200000003</v>
      </c>
      <c r="P14" s="608">
        <f>(309.61+1.14)*1.07</f>
        <v>332.5025</v>
      </c>
      <c r="Q14" s="608">
        <f t="shared" ref="Q14" si="0">ROUND(1.07*O14,2)</f>
        <v>331.28</v>
      </c>
      <c r="R14" s="608">
        <f>L14+Q14</f>
        <v>351.23999999999995</v>
      </c>
      <c r="S14" s="608"/>
      <c r="T14" s="612">
        <v>352.08</v>
      </c>
      <c r="U14" s="560"/>
      <c r="V14" s="561"/>
      <c r="W14" s="20"/>
      <c r="X14" s="21"/>
      <c r="Y14" s="21"/>
    </row>
    <row r="15" spans="1:27" s="110" customFormat="1" ht="16" thickBot="1">
      <c r="A15" s="672"/>
      <c r="B15" s="568" t="s">
        <v>941</v>
      </c>
      <c r="C15" s="560"/>
      <c r="D15" s="569">
        <f>SUM(D13:D14)</f>
        <v>374</v>
      </c>
      <c r="E15" s="566"/>
      <c r="F15" s="565"/>
      <c r="G15" s="655">
        <f>SUM(G13:G14)</f>
        <v>648</v>
      </c>
      <c r="H15" s="565"/>
      <c r="I15" s="563">
        <f>SUM(I13:I14)</f>
        <v>134.18915068493152</v>
      </c>
      <c r="J15" s="560"/>
      <c r="K15" s="560"/>
      <c r="L15" s="563">
        <f>SUM(L13:L14)</f>
        <v>143.58000000000001</v>
      </c>
      <c r="M15" s="560"/>
      <c r="N15" s="560"/>
      <c r="O15" s="563">
        <f>SUM(O13:O14)</f>
        <v>1759.895424</v>
      </c>
      <c r="P15" s="560"/>
      <c r="Q15" s="575">
        <f>SUM(Q13:Q14)</f>
        <v>1877.72</v>
      </c>
      <c r="R15" s="649">
        <f>SUM(R13:R14)</f>
        <v>2021.3</v>
      </c>
      <c r="S15" s="560"/>
      <c r="T15" s="604">
        <f>SUM(T13:T14)</f>
        <v>2021.71</v>
      </c>
      <c r="U15" s="560"/>
      <c r="V15" s="561"/>
      <c r="W15" s="20"/>
      <c r="X15" s="21"/>
      <c r="Y15" s="21"/>
    </row>
    <row r="16" spans="1:27" ht="16" thickBot="1">
      <c r="A16" s="613"/>
      <c r="B16" s="614"/>
      <c r="C16" s="615"/>
      <c r="D16" s="616"/>
      <c r="E16" s="616"/>
      <c r="F16" s="617"/>
      <c r="G16" s="616"/>
      <c r="H16" s="617"/>
      <c r="I16" s="615"/>
      <c r="J16" s="615"/>
      <c r="K16" s="615"/>
      <c r="L16" s="615"/>
      <c r="M16" s="615"/>
      <c r="N16" s="615"/>
      <c r="O16" s="615"/>
      <c r="P16" s="615"/>
      <c r="Q16" s="615"/>
      <c r="R16" s="615"/>
      <c r="S16" s="615"/>
      <c r="T16" s="618"/>
      <c r="U16" s="21"/>
      <c r="V16" s="232"/>
      <c r="W16" s="232"/>
      <c r="X16" s="231"/>
      <c r="Y16" s="231"/>
    </row>
    <row r="17" spans="1:25" ht="16" thickBot="1">
      <c r="A17" s="230"/>
      <c r="B17" s="379"/>
      <c r="C17" s="21"/>
      <c r="D17" s="447"/>
      <c r="E17" s="447"/>
      <c r="F17" s="367"/>
      <c r="G17" s="447"/>
      <c r="H17" s="367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32"/>
      <c r="W17" s="232"/>
      <c r="X17" s="231"/>
      <c r="Y17" s="231"/>
    </row>
    <row r="18" spans="1:25">
      <c r="A18" s="230" t="s">
        <v>311</v>
      </c>
      <c r="B18" s="595" t="s">
        <v>1036</v>
      </c>
      <c r="C18" s="21" t="s">
        <v>1039</v>
      </c>
      <c r="D18" s="447">
        <v>288</v>
      </c>
      <c r="E18" s="447">
        <v>3531</v>
      </c>
      <c r="F18">
        <v>3779.0279999999998</v>
      </c>
      <c r="G18" s="447">
        <f>F18-E18</f>
        <v>248.02799999999979</v>
      </c>
      <c r="H18" s="367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32"/>
      <c r="W18" s="232"/>
      <c r="X18" s="231"/>
      <c r="Y18" s="231"/>
    </row>
    <row r="19" spans="1:25">
      <c r="A19" s="230"/>
      <c r="B19" s="379"/>
      <c r="C19" s="21" t="s">
        <v>1040</v>
      </c>
      <c r="D19" s="447">
        <v>23</v>
      </c>
      <c r="E19" s="447">
        <v>0</v>
      </c>
      <c r="F19" s="367">
        <v>10.974</v>
      </c>
      <c r="G19" s="447">
        <f>F19-E19</f>
        <v>10.974</v>
      </c>
      <c r="H19" s="367"/>
      <c r="I19" s="21"/>
      <c r="J19" s="21"/>
      <c r="K19" s="21">
        <v>1.07</v>
      </c>
      <c r="L19" s="21"/>
      <c r="M19" s="21"/>
      <c r="N19" s="21">
        <v>3.2050000000000001</v>
      </c>
      <c r="O19" s="21"/>
      <c r="P19" s="21"/>
      <c r="Q19" s="21"/>
      <c r="R19" s="21"/>
      <c r="S19" s="21"/>
      <c r="T19" s="21"/>
      <c r="U19" s="21"/>
      <c r="V19" s="232"/>
      <c r="W19" s="232"/>
      <c r="X19" s="231"/>
      <c r="Y19" s="231"/>
    </row>
    <row r="20" spans="1:25">
      <c r="A20" s="230"/>
      <c r="B20" s="379"/>
      <c r="C20" s="21"/>
      <c r="D20" s="660">
        <f>SUM(D18:D19)</f>
        <v>311</v>
      </c>
      <c r="E20" s="447"/>
      <c r="F20" s="367"/>
      <c r="G20" s="660">
        <f>SUM(G18:G19)</f>
        <v>259.00199999999978</v>
      </c>
      <c r="H20" s="367"/>
      <c r="I20" s="21">
        <v>160</v>
      </c>
      <c r="J20" s="21"/>
      <c r="K20" s="21"/>
      <c r="L20" s="1">
        <f>I20*K19</f>
        <v>171.20000000000002</v>
      </c>
      <c r="M20" s="21"/>
      <c r="N20" s="21"/>
      <c r="O20" s="21"/>
      <c r="P20" s="21"/>
      <c r="Q20" s="21"/>
      <c r="R20" s="1">
        <f>G20*AA5</f>
        <v>888.20850869999936</v>
      </c>
      <c r="S20" s="21"/>
      <c r="T20" s="663">
        <f>R20+L20</f>
        <v>1059.4085086999994</v>
      </c>
      <c r="U20" s="21"/>
      <c r="V20" s="232"/>
      <c r="W20" s="232"/>
      <c r="X20" s="231"/>
      <c r="Y20" s="231"/>
    </row>
    <row r="21" spans="1:25">
      <c r="A21" s="230"/>
      <c r="B21" s="379"/>
      <c r="C21" s="21"/>
      <c r="D21" s="447"/>
      <c r="E21" s="447"/>
      <c r="F21" s="367"/>
      <c r="G21" s="447"/>
      <c r="H21" s="367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32"/>
      <c r="W21" s="232"/>
      <c r="X21" s="231"/>
      <c r="Y21" s="231"/>
    </row>
    <row r="22" spans="1:25">
      <c r="A22" s="230"/>
      <c r="B22" s="379"/>
      <c r="C22" s="21"/>
      <c r="D22" s="447"/>
      <c r="E22" s="447"/>
      <c r="F22" s="367"/>
      <c r="G22" s="447"/>
      <c r="H22" s="367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32"/>
      <c r="W22" s="232"/>
      <c r="X22" s="231"/>
      <c r="Y22" s="231"/>
    </row>
    <row r="23" spans="1:25">
      <c r="A23" s="230"/>
      <c r="B23" s="379"/>
      <c r="C23" s="21"/>
      <c r="D23" s="447"/>
      <c r="E23" s="447"/>
      <c r="F23" s="367"/>
      <c r="G23" s="447"/>
      <c r="H23" s="367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32"/>
      <c r="W23" s="232"/>
      <c r="X23" s="231"/>
      <c r="Y23" s="231"/>
    </row>
    <row r="24" spans="1:25" ht="16" thickBot="1">
      <c r="A24" s="230"/>
      <c r="B24" s="379"/>
      <c r="C24" s="21"/>
      <c r="D24" s="447"/>
      <c r="E24" s="447"/>
      <c r="F24" s="367"/>
      <c r="G24" s="447"/>
      <c r="H24" s="367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32"/>
      <c r="W24" s="232"/>
      <c r="X24" s="231"/>
      <c r="Y24" s="231"/>
    </row>
    <row r="25" spans="1:25" s="110" customFormat="1" ht="15.75" customHeight="1">
      <c r="A25" s="670" t="s">
        <v>311</v>
      </c>
      <c r="C25" s="596" t="s">
        <v>937</v>
      </c>
      <c r="D25" s="597">
        <v>360</v>
      </c>
      <c r="E25" s="597">
        <v>2720</v>
      </c>
      <c r="F25" s="600">
        <v>3531</v>
      </c>
      <c r="G25" s="597">
        <f>F25-E25</f>
        <v>811</v>
      </c>
      <c r="H25" s="600"/>
      <c r="I25" s="596">
        <f>(((53.92+38.63)/365)*D25)</f>
        <v>91.282191780821933</v>
      </c>
      <c r="J25" s="596"/>
      <c r="K25" s="596">
        <v>1.07</v>
      </c>
      <c r="L25" s="596">
        <f>ROUND(1.07*I25,2)</f>
        <v>97.67</v>
      </c>
      <c r="M25" s="596"/>
      <c r="N25" s="596">
        <v>2.98</v>
      </c>
      <c r="O25" s="596">
        <f>G25*N25</f>
        <v>2416.7800000000002</v>
      </c>
      <c r="P25" s="596"/>
      <c r="Q25" s="596">
        <f>ROUND(1.07*O25,2)</f>
        <v>2585.9499999999998</v>
      </c>
      <c r="R25" s="596">
        <f>L25+Q25</f>
        <v>2683.62</v>
      </c>
      <c r="S25" s="596"/>
      <c r="T25" s="602"/>
      <c r="U25" s="560"/>
      <c r="V25" s="561"/>
      <c r="W25" s="20"/>
      <c r="X25" s="21"/>
      <c r="Y25" s="21"/>
    </row>
    <row r="26" spans="1:25" s="110" customFormat="1" ht="15" customHeight="1" thickBot="1">
      <c r="A26" s="671"/>
      <c r="B26" s="565"/>
      <c r="C26" s="560"/>
      <c r="D26" s="566"/>
      <c r="E26" s="566"/>
      <c r="F26" s="581"/>
      <c r="G26" s="566"/>
      <c r="H26" s="565"/>
      <c r="I26" s="560"/>
      <c r="J26" s="560"/>
      <c r="K26" s="560"/>
      <c r="L26" s="560"/>
      <c r="M26" s="560"/>
      <c r="N26" s="560"/>
      <c r="O26" s="560"/>
      <c r="P26" s="562"/>
      <c r="Q26" s="560"/>
      <c r="R26" s="560"/>
      <c r="S26" s="560"/>
      <c r="T26" s="620"/>
      <c r="U26" s="560"/>
      <c r="V26" s="561"/>
      <c r="W26" s="20"/>
      <c r="X26" s="21"/>
      <c r="Y26" s="21"/>
    </row>
    <row r="27" spans="1:25" s="110" customFormat="1" ht="16" thickBot="1">
      <c r="A27" s="671"/>
      <c r="B27" s="568" t="s">
        <v>942</v>
      </c>
      <c r="C27" s="560"/>
      <c r="D27" s="569">
        <f>SUM(D25:D26)</f>
        <v>360</v>
      </c>
      <c r="E27" s="566"/>
      <c r="F27" s="565"/>
      <c r="G27" s="653">
        <f>SUM(G25:G26)</f>
        <v>811</v>
      </c>
      <c r="H27" s="565"/>
      <c r="I27" s="563">
        <f>SUM(I25:I26)</f>
        <v>91.282191780821933</v>
      </c>
      <c r="J27" s="560"/>
      <c r="K27" s="560"/>
      <c r="L27" s="652">
        <f>SUM(L25:L26)</f>
        <v>97.67</v>
      </c>
      <c r="M27" s="560"/>
      <c r="N27" s="560"/>
      <c r="O27" s="563">
        <f>SUM(O25:O26)</f>
        <v>2416.7800000000002</v>
      </c>
      <c r="P27" s="560"/>
      <c r="Q27" s="575">
        <f>SUM(Q25:Q26)</f>
        <v>2585.9499999999998</v>
      </c>
      <c r="R27" s="576">
        <f>SUM(R25:R26)</f>
        <v>2683.62</v>
      </c>
      <c r="S27" s="560"/>
      <c r="T27" s="604"/>
      <c r="U27" s="560"/>
      <c r="V27" s="561"/>
      <c r="W27" s="20"/>
      <c r="X27" s="21"/>
      <c r="Y27" s="21"/>
    </row>
    <row r="28" spans="1:25">
      <c r="A28" s="605"/>
      <c r="B28" s="379"/>
      <c r="C28" s="21"/>
      <c r="D28" s="447"/>
      <c r="E28" s="582"/>
      <c r="F28" s="582"/>
      <c r="G28" s="583"/>
      <c r="H28" s="367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606"/>
      <c r="U28" s="21"/>
      <c r="V28" s="232"/>
      <c r="W28" s="232"/>
      <c r="X28" s="231"/>
      <c r="Y28" s="231"/>
    </row>
    <row r="29" spans="1:25" s="110" customFormat="1" ht="15.75" customHeight="1">
      <c r="A29" s="673" t="s">
        <v>311</v>
      </c>
      <c r="B29" s="607" t="s">
        <v>846</v>
      </c>
      <c r="C29" s="608" t="s">
        <v>849</v>
      </c>
      <c r="D29" s="609">
        <f>45+224+22</f>
        <v>291</v>
      </c>
      <c r="E29" s="609">
        <v>2102</v>
      </c>
      <c r="F29" s="607">
        <v>2657</v>
      </c>
      <c r="G29" s="609">
        <f>F29-E29</f>
        <v>555</v>
      </c>
      <c r="H29" s="607">
        <v>130.96</v>
      </c>
      <c r="I29" s="608">
        <f>((129.02/365)*D29)</f>
        <v>102.86252054794521</v>
      </c>
      <c r="J29" s="608"/>
      <c r="K29" s="608">
        <v>1.07</v>
      </c>
      <c r="L29" s="608">
        <f>ROUND(1.07*I29,2)</f>
        <v>110.06</v>
      </c>
      <c r="M29" s="608"/>
      <c r="N29" s="608">
        <v>271.58879999999999</v>
      </c>
      <c r="O29" s="608">
        <f>G29*2.715888</f>
        <v>1507.3178399999999</v>
      </c>
      <c r="P29" s="608">
        <f>230.19+1159.68+114.07</f>
        <v>1503.94</v>
      </c>
      <c r="Q29" s="608">
        <f>ROUND(1.07*O29,2)</f>
        <v>1612.83</v>
      </c>
      <c r="R29" s="608">
        <f>L29+Q29</f>
        <v>1722.8899999999999</v>
      </c>
      <c r="S29" s="608"/>
      <c r="T29" s="612"/>
      <c r="U29" s="560"/>
      <c r="V29" s="561"/>
      <c r="W29" s="20"/>
      <c r="X29" s="21"/>
      <c r="Y29" s="21"/>
    </row>
    <row r="30" spans="1:25" s="110" customFormat="1" ht="15" customHeight="1" thickBot="1">
      <c r="A30" s="673"/>
      <c r="B30" s="607" t="s">
        <v>848</v>
      </c>
      <c r="C30" s="608" t="s">
        <v>847</v>
      </c>
      <c r="D30" s="609">
        <f>30+27</f>
        <v>57</v>
      </c>
      <c r="E30" s="609">
        <v>2657</v>
      </c>
      <c r="F30" s="607">
        <v>2720</v>
      </c>
      <c r="G30" s="609">
        <f>F30-E30</f>
        <v>63</v>
      </c>
      <c r="H30" s="607">
        <v>130.96</v>
      </c>
      <c r="I30" s="608">
        <f>((129.02/365)*D30)</f>
        <v>20.148328767123289</v>
      </c>
      <c r="J30" s="608"/>
      <c r="K30" s="608">
        <v>1.07</v>
      </c>
      <c r="L30" s="608">
        <f>ROUND(1.07*I30,2)</f>
        <v>21.56</v>
      </c>
      <c r="M30" s="608"/>
      <c r="N30" s="608">
        <v>271.58879999999999</v>
      </c>
      <c r="O30" s="608">
        <f>G30*2.715888</f>
        <v>171.100944</v>
      </c>
      <c r="P30" s="608"/>
      <c r="Q30" s="608">
        <f>ROUND(1.07*O30,2)</f>
        <v>183.08</v>
      </c>
      <c r="R30" s="608">
        <f>L30+Q30</f>
        <v>204.64000000000001</v>
      </c>
      <c r="S30" s="608"/>
      <c r="T30" s="621"/>
      <c r="U30" s="560"/>
      <c r="V30" s="561"/>
      <c r="W30" s="20"/>
      <c r="X30" s="21"/>
      <c r="Y30" s="21"/>
    </row>
    <row r="31" spans="1:25" s="110" customFormat="1" ht="16" thickBot="1">
      <c r="A31" s="674"/>
      <c r="B31" s="622" t="s">
        <v>943</v>
      </c>
      <c r="C31" s="623"/>
      <c r="D31" s="624">
        <f>SUM(D29:D30)</f>
        <v>348</v>
      </c>
      <c r="E31" s="625"/>
      <c r="F31" s="626"/>
      <c r="G31" s="624">
        <f>SUM(G29:G30)</f>
        <v>618</v>
      </c>
      <c r="H31" s="626"/>
      <c r="I31" s="627">
        <f>SUM(I29:I30)</f>
        <v>123.0108493150685</v>
      </c>
      <c r="J31" s="623"/>
      <c r="K31" s="623"/>
      <c r="L31" s="627">
        <f>SUM(L29:L30)</f>
        <v>131.62</v>
      </c>
      <c r="M31" s="623"/>
      <c r="N31" s="623"/>
      <c r="O31" s="627">
        <f>SUM(O29:O30)</f>
        <v>1678.418784</v>
      </c>
      <c r="P31" s="623"/>
      <c r="Q31" s="628">
        <f>SUM(Q29:Q30)</f>
        <v>1795.9099999999999</v>
      </c>
      <c r="R31" s="619">
        <f>SUM(R29:R30)</f>
        <v>1927.53</v>
      </c>
      <c r="S31" s="623"/>
      <c r="T31" s="629"/>
      <c r="U31" s="560"/>
      <c r="V31" s="561"/>
      <c r="W31" s="20"/>
      <c r="X31" s="21"/>
      <c r="Y31" s="21"/>
    </row>
    <row r="32" spans="1:25" s="110" customFormat="1" ht="16" thickBot="1">
      <c r="A32" s="6"/>
      <c r="B32" s="565"/>
      <c r="C32" s="560"/>
      <c r="D32" s="566"/>
      <c r="E32" s="566"/>
      <c r="F32" s="565"/>
      <c r="G32" s="566"/>
      <c r="H32" s="565"/>
      <c r="I32" s="560"/>
      <c r="J32" s="560"/>
      <c r="K32" s="560"/>
      <c r="L32" s="560"/>
      <c r="M32" s="560"/>
      <c r="N32" s="560"/>
      <c r="O32" s="560"/>
      <c r="P32" s="560"/>
      <c r="Q32" s="560"/>
      <c r="R32" s="560"/>
      <c r="S32" s="560"/>
      <c r="T32" s="560"/>
      <c r="U32" s="560"/>
      <c r="V32" s="561"/>
      <c r="W32" s="20"/>
      <c r="X32" s="21"/>
      <c r="Y32" s="21"/>
    </row>
    <row r="33" spans="1:25" s="110" customFormat="1">
      <c r="A33" s="6"/>
      <c r="B33" s="631" t="s">
        <v>934</v>
      </c>
      <c r="C33" s="596" t="s">
        <v>946</v>
      </c>
      <c r="D33" s="597">
        <f>14+30+31</f>
        <v>75</v>
      </c>
      <c r="E33" s="597">
        <v>15</v>
      </c>
      <c r="F33" s="600">
        <v>24</v>
      </c>
      <c r="G33" s="632">
        <f>F33-E33</f>
        <v>9</v>
      </c>
      <c r="H33" s="600"/>
      <c r="I33" s="596"/>
      <c r="J33" s="596"/>
      <c r="K33" s="596"/>
      <c r="L33" s="596"/>
      <c r="M33" s="596"/>
      <c r="N33" s="596"/>
      <c r="O33" s="596"/>
      <c r="P33" s="596"/>
      <c r="Q33" s="596"/>
      <c r="R33" s="596"/>
      <c r="S33" s="596"/>
      <c r="T33" s="602"/>
      <c r="U33" s="560"/>
      <c r="V33" s="561"/>
      <c r="W33" s="20"/>
      <c r="X33" s="21"/>
      <c r="Y33" s="21"/>
    </row>
    <row r="34" spans="1:25" s="110" customFormat="1" ht="16" thickBot="1">
      <c r="A34" s="6" t="s">
        <v>734</v>
      </c>
      <c r="B34" s="633" t="s">
        <v>945</v>
      </c>
      <c r="C34" s="560" t="s">
        <v>947</v>
      </c>
      <c r="D34" s="571">
        <v>304</v>
      </c>
      <c r="E34" s="566">
        <v>24</v>
      </c>
      <c r="F34" s="566">
        <v>31</v>
      </c>
      <c r="G34" s="571">
        <f>F34-E34</f>
        <v>7</v>
      </c>
      <c r="H34" s="565">
        <v>44.91</v>
      </c>
      <c r="I34" s="560">
        <f>((53.92/365)*D34)</f>
        <v>44.90871232876713</v>
      </c>
      <c r="J34" s="560"/>
      <c r="K34" s="634">
        <v>1.07</v>
      </c>
      <c r="L34" s="560">
        <f>ROUND(1.05*I34,2)</f>
        <v>47.15</v>
      </c>
      <c r="M34" s="560"/>
      <c r="N34" s="560">
        <v>2.9820000000000002</v>
      </c>
      <c r="O34" s="564">
        <f>G34*N34</f>
        <v>20.874000000000002</v>
      </c>
      <c r="P34" s="560">
        <v>20.87</v>
      </c>
      <c r="Q34" s="560">
        <f>ROUND(1.07*O34,2)</f>
        <v>22.34</v>
      </c>
      <c r="R34" s="560">
        <f>L34+Q34</f>
        <v>69.489999999999995</v>
      </c>
      <c r="S34" s="560"/>
      <c r="T34" s="635">
        <v>70.38</v>
      </c>
      <c r="U34" s="560"/>
      <c r="V34" s="561"/>
      <c r="W34" s="20"/>
      <c r="X34" s="21"/>
      <c r="Y34" s="21"/>
    </row>
    <row r="35" spans="1:25" ht="31" thickBot="1">
      <c r="A35" s="6"/>
      <c r="B35" s="636" t="s">
        <v>948</v>
      </c>
      <c r="C35" s="560"/>
      <c r="D35" s="630">
        <f>SUM(D33:D34)</f>
        <v>379</v>
      </c>
      <c r="E35" s="566">
        <v>15</v>
      </c>
      <c r="F35" s="573">
        <v>24</v>
      </c>
      <c r="G35" s="651">
        <f>F35-E35</f>
        <v>9</v>
      </c>
      <c r="H35" s="565"/>
      <c r="I35" s="170">
        <f>((53.92/365)*D35)</f>
        <v>55.988164383561653</v>
      </c>
      <c r="J35" s="560"/>
      <c r="K35" s="634">
        <v>1.07</v>
      </c>
      <c r="L35" s="654">
        <f>ROUND(1.05*I35,2)</f>
        <v>58.79</v>
      </c>
      <c r="M35" s="560"/>
      <c r="N35" s="560">
        <v>2.9820000000000002</v>
      </c>
      <c r="O35" s="560">
        <f>G35*N34</f>
        <v>26.838000000000001</v>
      </c>
      <c r="P35" s="562"/>
      <c r="Q35" s="560">
        <f>ROUND(1.07*O35,2)</f>
        <v>28.72</v>
      </c>
      <c r="R35" s="574">
        <f>L35+Q35</f>
        <v>87.509999999999991</v>
      </c>
      <c r="S35" s="560"/>
      <c r="T35" s="603"/>
    </row>
    <row r="36" spans="1:25">
      <c r="B36" s="2"/>
      <c r="T36" s="637"/>
    </row>
    <row r="37" spans="1:25">
      <c r="B37" s="2"/>
      <c r="T37" s="637"/>
    </row>
    <row r="38" spans="1:25" s="110" customFormat="1">
      <c r="A38" s="6"/>
      <c r="B38" s="638"/>
      <c r="C38" s="560"/>
      <c r="D38" s="566"/>
      <c r="E38" s="566"/>
      <c r="F38" s="565"/>
      <c r="G38" s="566"/>
      <c r="H38" s="565"/>
      <c r="I38" s="560"/>
      <c r="J38" s="560"/>
      <c r="K38" s="560"/>
      <c r="L38" s="560"/>
      <c r="M38" s="560"/>
      <c r="N38" s="560"/>
      <c r="O38" s="560"/>
      <c r="P38" s="560"/>
      <c r="Q38" s="560"/>
      <c r="R38" s="560"/>
      <c r="S38" s="560"/>
      <c r="T38" s="639"/>
      <c r="U38" s="560"/>
      <c r="V38" s="561"/>
      <c r="W38" s="20"/>
      <c r="X38" s="21"/>
      <c r="Y38" s="21"/>
    </row>
    <row r="39" spans="1:25" s="110" customFormat="1" ht="31" thickBot="1">
      <c r="A39" s="673" t="s">
        <v>734</v>
      </c>
      <c r="B39" s="633" t="s">
        <v>850</v>
      </c>
      <c r="C39" s="585" t="s">
        <v>735</v>
      </c>
      <c r="D39" s="588">
        <f>61+304</f>
        <v>365</v>
      </c>
      <c r="E39" s="589">
        <v>4</v>
      </c>
      <c r="F39" s="589">
        <v>13</v>
      </c>
      <c r="G39" s="588">
        <f>F39-E39</f>
        <v>9</v>
      </c>
      <c r="H39" s="590">
        <v>48.38</v>
      </c>
      <c r="I39" s="591">
        <f>((H39/365)*D39)</f>
        <v>48.38</v>
      </c>
      <c r="J39" s="591"/>
      <c r="K39" s="591">
        <v>1.07</v>
      </c>
      <c r="L39" s="591">
        <f>ROUND(1.05*I39,2)</f>
        <v>50.8</v>
      </c>
      <c r="M39" s="591"/>
      <c r="N39" s="591">
        <v>271.58879999999999</v>
      </c>
      <c r="O39" s="592">
        <f>G39*2.67668</f>
        <v>24.090120000000002</v>
      </c>
      <c r="P39" s="591">
        <f>5.27+18.74</f>
        <v>24.009999999999998</v>
      </c>
      <c r="Q39" s="591">
        <f t="shared" ref="Q39" si="1">ROUND(1.07*O39,2)</f>
        <v>25.78</v>
      </c>
      <c r="R39" s="591">
        <f>L39+Q39</f>
        <v>76.58</v>
      </c>
      <c r="S39" s="591"/>
      <c r="T39" s="640">
        <v>77.05</v>
      </c>
      <c r="U39" s="560"/>
      <c r="V39" s="561"/>
      <c r="W39" s="20"/>
      <c r="X39" s="21"/>
      <c r="Y39" s="21"/>
    </row>
    <row r="40" spans="1:25" s="110" customFormat="1" ht="16" thickBot="1">
      <c r="A40" s="673"/>
      <c r="B40" s="641" t="s">
        <v>852</v>
      </c>
      <c r="C40" s="642" t="s">
        <v>851</v>
      </c>
      <c r="D40" s="643">
        <v>365</v>
      </c>
      <c r="E40" s="643">
        <v>0.25</v>
      </c>
      <c r="F40" s="656">
        <v>15</v>
      </c>
      <c r="G40" s="643">
        <f>F40-E40</f>
        <v>14.75</v>
      </c>
      <c r="H40" s="657">
        <v>48.38</v>
      </c>
      <c r="I40" s="642">
        <f>((H40/365)*D40)</f>
        <v>48.38</v>
      </c>
      <c r="J40" s="642"/>
      <c r="K40" s="642">
        <v>1.07</v>
      </c>
      <c r="L40" s="642">
        <f>ROUND(1.05*I40,2)</f>
        <v>50.8</v>
      </c>
      <c r="M40" s="642"/>
      <c r="N40" s="642">
        <v>271.58800000000002</v>
      </c>
      <c r="O40" s="642">
        <f>G40*2.715888</f>
        <v>40.059348</v>
      </c>
      <c r="P40" s="644"/>
      <c r="Q40" s="642">
        <f>ROUND(1.07*O40,2)</f>
        <v>42.86</v>
      </c>
      <c r="R40" s="649">
        <f>L40+Q40</f>
        <v>93.66</v>
      </c>
      <c r="S40" s="642"/>
      <c r="T40" s="645"/>
      <c r="U40" s="560"/>
      <c r="V40" s="561"/>
      <c r="W40" s="20"/>
      <c r="X40" s="21"/>
      <c r="Y40" s="21"/>
    </row>
    <row r="41" spans="1:25" ht="16" thickBot="1">
      <c r="A41" s="674"/>
      <c r="B41" s="367"/>
      <c r="C41" s="21"/>
      <c r="D41" s="447"/>
      <c r="E41" s="447"/>
      <c r="F41" s="367"/>
      <c r="G41" s="447"/>
      <c r="H41" s="36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0"/>
      <c r="W41" s="20"/>
      <c r="X41" s="21"/>
      <c r="Y41" s="21"/>
    </row>
    <row r="42" spans="1:25" ht="57" thickBot="1">
      <c r="A42" s="665" t="s">
        <v>741</v>
      </c>
      <c r="B42" s="577" t="s">
        <v>636</v>
      </c>
      <c r="C42" s="555"/>
      <c r="D42" s="578"/>
      <c r="E42" s="577">
        <v>23.25</v>
      </c>
      <c r="F42" s="578">
        <v>27.099</v>
      </c>
      <c r="G42" s="579">
        <f>F42-E42</f>
        <v>3.8490000000000002</v>
      </c>
      <c r="H42" s="367"/>
      <c r="I42" s="21"/>
      <c r="J42" s="21"/>
      <c r="K42" s="21"/>
      <c r="L42" s="21"/>
      <c r="M42" s="21"/>
      <c r="N42" s="21"/>
      <c r="O42" s="21"/>
      <c r="P42" s="21"/>
      <c r="Q42" s="21"/>
      <c r="R42" s="593"/>
      <c r="S42" s="205" t="s">
        <v>949</v>
      </c>
      <c r="T42" s="21">
        <f>R11+R27+T34</f>
        <v>5080.4355999999998</v>
      </c>
      <c r="U42" s="21"/>
      <c r="V42" s="20"/>
      <c r="W42" s="20"/>
      <c r="X42" s="21"/>
      <c r="Y42" s="21"/>
    </row>
    <row r="43" spans="1:25">
      <c r="A43" s="665"/>
      <c r="B43" s="577" t="s">
        <v>740</v>
      </c>
      <c r="C43" s="555"/>
      <c r="D43" s="578"/>
      <c r="E43" s="578"/>
      <c r="F43" s="577">
        <v>6.62</v>
      </c>
      <c r="G43" s="578"/>
      <c r="H43" s="367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0"/>
      <c r="W43" s="20"/>
      <c r="X43" s="21"/>
      <c r="Y43" s="21"/>
    </row>
    <row r="44" spans="1:25" ht="17" thickBot="1">
      <c r="A44" s="646"/>
      <c r="B44" s="577" t="s">
        <v>636</v>
      </c>
      <c r="C44" s="555"/>
      <c r="D44" s="578"/>
      <c r="E44" s="577">
        <v>23.25</v>
      </c>
      <c r="F44" s="578">
        <v>27.099</v>
      </c>
      <c r="G44" s="579">
        <f>F44-E44</f>
        <v>3.8490000000000002</v>
      </c>
      <c r="H44" s="647">
        <v>7.8479999999999999</v>
      </c>
      <c r="I44" s="647">
        <v>17.085000000000001</v>
      </c>
      <c r="J44" s="648">
        <v>9.2370000000000001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0"/>
      <c r="W44" s="20"/>
      <c r="X44" s="21"/>
      <c r="Y44" s="21"/>
    </row>
    <row r="45" spans="1:25" ht="16" thickBot="1">
      <c r="A45" s="368"/>
      <c r="B45" s="368"/>
      <c r="C45" s="368"/>
      <c r="D45" s="401"/>
      <c r="E45" s="401"/>
      <c r="F45" s="368"/>
      <c r="G45" s="6"/>
      <c r="H45" s="6"/>
      <c r="I45" s="401"/>
      <c r="J45" s="401"/>
      <c r="K45" s="401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</row>
    <row r="46" spans="1:25" ht="84">
      <c r="A46" s="523"/>
      <c r="B46" s="523"/>
      <c r="C46" s="523"/>
      <c r="D46" s="524"/>
      <c r="E46" s="525" t="s">
        <v>682</v>
      </c>
      <c r="F46" s="523"/>
      <c r="G46" s="526" t="s">
        <v>950</v>
      </c>
      <c r="H46" s="526"/>
      <c r="I46" s="526" t="s">
        <v>951</v>
      </c>
      <c r="J46" s="401"/>
      <c r="K46" s="401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</row>
    <row r="47" spans="1:25">
      <c r="A47" s="368"/>
      <c r="B47" s="368"/>
      <c r="C47" s="368"/>
      <c r="D47" s="401"/>
      <c r="E47" s="401"/>
      <c r="F47" s="368"/>
      <c r="G47" s="6"/>
      <c r="H47" s="6"/>
      <c r="I47" s="529"/>
      <c r="J47" s="401"/>
      <c r="K47" s="401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</row>
    <row r="48" spans="1:25">
      <c r="A48" s="368"/>
      <c r="B48" s="368"/>
      <c r="C48" s="368"/>
      <c r="D48" s="401"/>
      <c r="E48" s="401"/>
      <c r="F48" s="368"/>
      <c r="G48" s="6"/>
      <c r="H48" s="6"/>
      <c r="I48" s="529"/>
      <c r="J48" s="401"/>
      <c r="K48" s="401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</row>
    <row r="49" spans="1:25">
      <c r="A49" s="368"/>
      <c r="B49" s="368"/>
      <c r="C49" s="459" t="s">
        <v>672</v>
      </c>
      <c r="D49" s="368"/>
      <c r="E49" s="344"/>
      <c r="F49" s="368"/>
      <c r="G49" s="650"/>
      <c r="H49" s="519" t="s">
        <v>235</v>
      </c>
      <c r="I49" s="662" t="e">
        <f>'JR 2024-2025'!#REF!</f>
        <v>#REF!</v>
      </c>
      <c r="J49" s="401"/>
      <c r="K49" s="401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</row>
    <row r="50" spans="1:25">
      <c r="A50" s="368"/>
      <c r="B50" s="368"/>
      <c r="C50" s="368"/>
      <c r="D50" s="459"/>
      <c r="E50" s="459"/>
      <c r="F50" s="368"/>
      <c r="G50" s="401"/>
      <c r="H50" s="368"/>
      <c r="I50" s="530"/>
      <c r="J50" s="368"/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</row>
    <row r="51" spans="1:25">
      <c r="A51" s="368"/>
      <c r="B51" s="368"/>
      <c r="C51" s="459" t="s">
        <v>673</v>
      </c>
      <c r="D51" s="368"/>
      <c r="E51" s="344">
        <f>T20</f>
        <v>1059.4085086999994</v>
      </c>
      <c r="F51" s="368"/>
      <c r="G51" s="661">
        <f>G20</f>
        <v>259.00199999999978</v>
      </c>
      <c r="H51" s="519" t="s">
        <v>235</v>
      </c>
      <c r="I51" s="662" t="e">
        <f>'JR 2024-2025'!#REF!</f>
        <v>#REF!</v>
      </c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</row>
    <row r="52" spans="1:25">
      <c r="A52" s="368"/>
      <c r="B52" s="368"/>
      <c r="C52" s="368"/>
      <c r="D52" s="368"/>
      <c r="E52" s="368"/>
      <c r="F52" s="368"/>
      <c r="G52" s="401"/>
      <c r="H52" s="368"/>
      <c r="I52" s="65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</row>
    <row r="53" spans="1:25">
      <c r="A53" s="368"/>
      <c r="B53" s="368"/>
      <c r="C53" s="459" t="s">
        <v>856</v>
      </c>
      <c r="D53" s="368"/>
      <c r="E53" s="344"/>
      <c r="F53" s="368"/>
      <c r="G53" s="558"/>
      <c r="H53" s="519" t="s">
        <v>235</v>
      </c>
      <c r="I53" s="662" t="e">
        <f>'JR 2024-2025'!#REF!</f>
        <v>#REF!</v>
      </c>
      <c r="J53" s="368"/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</row>
    <row r="54" spans="1:25" ht="16" thickBot="1">
      <c r="A54" s="368"/>
      <c r="B54" s="368"/>
      <c r="C54" s="368"/>
      <c r="D54" s="368"/>
      <c r="E54" s="368"/>
      <c r="F54" s="368"/>
      <c r="G54" s="401"/>
      <c r="H54" s="368"/>
      <c r="I54" s="65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</row>
    <row r="55" spans="1:25" ht="16" thickBot="1">
      <c r="A55" s="368"/>
      <c r="B55" s="538" t="e">
        <f>D55-E55</f>
        <v>#REF!</v>
      </c>
      <c r="C55" s="368"/>
      <c r="D55" s="533" t="e">
        <f>'JR 2024-2025'!#REF!</f>
        <v>#REF!</v>
      </c>
      <c r="E55" s="505">
        <f>SUM(E49:E54)</f>
        <v>1059.4085086999994</v>
      </c>
      <c r="F55" s="368"/>
      <c r="G55" s="559">
        <f>SUM(G49:G54)</f>
        <v>259.00199999999978</v>
      </c>
      <c r="H55" s="368"/>
      <c r="I55" s="658" t="e">
        <f>SUM(I49:I54)</f>
        <v>#REF!</v>
      </c>
      <c r="J55" s="368"/>
      <c r="K55" s="368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</row>
    <row r="56" spans="1:25">
      <c r="A56" s="368"/>
      <c r="B56" s="368"/>
      <c r="C56" s="368"/>
      <c r="D56" s="401"/>
      <c r="E56" s="401"/>
      <c r="F56" s="368"/>
      <c r="G56" s="401"/>
      <c r="H56" s="368"/>
      <c r="I56" s="530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</row>
    <row r="57" spans="1:25">
      <c r="A57" s="368"/>
      <c r="B57" s="368"/>
      <c r="C57" s="368"/>
      <c r="D57" s="401"/>
      <c r="E57" s="401"/>
      <c r="F57" s="368"/>
      <c r="G57" s="401"/>
      <c r="H57" s="368"/>
      <c r="I57" s="530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</row>
    <row r="58" spans="1:25">
      <c r="A58" s="666" t="s">
        <v>257</v>
      </c>
      <c r="B58" s="666"/>
      <c r="C58" s="666"/>
      <c r="D58" s="666"/>
      <c r="E58" s="666"/>
      <c r="F58" s="666"/>
      <c r="G58" s="666"/>
      <c r="H58" s="666"/>
      <c r="I58" s="667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8"/>
    </row>
    <row r="59" spans="1:25">
      <c r="A59" s="366"/>
      <c r="B59" s="366" t="s">
        <v>206</v>
      </c>
      <c r="C59" s="534">
        <f>L20+L7+L40</f>
        <v>392.00000000000006</v>
      </c>
      <c r="D59" s="404"/>
      <c r="E59" s="404"/>
      <c r="F59" s="366"/>
      <c r="G59" s="404"/>
      <c r="H59" s="404"/>
      <c r="I59" s="535"/>
      <c r="J59" s="404"/>
      <c r="K59" s="404"/>
      <c r="L59" s="366"/>
      <c r="M59" s="366"/>
      <c r="N59" s="366"/>
      <c r="O59" s="366"/>
      <c r="P59" s="366"/>
      <c r="Q59" s="366"/>
      <c r="R59" s="423"/>
      <c r="S59" s="423"/>
      <c r="T59" s="366"/>
      <c r="U59" s="366"/>
      <c r="V59" s="366"/>
      <c r="W59" s="366"/>
      <c r="X59" s="366"/>
      <c r="Y59" s="368"/>
    </row>
    <row r="60" spans="1:25" ht="16" thickBot="1">
      <c r="A60" s="668" t="s">
        <v>207</v>
      </c>
      <c r="B60" s="668"/>
      <c r="C60" s="465">
        <v>156</v>
      </c>
      <c r="D60" s="404"/>
      <c r="E60" s="404"/>
      <c r="F60" s="366"/>
      <c r="G60" s="404"/>
      <c r="H60" s="404"/>
      <c r="I60" s="535"/>
      <c r="J60" s="404"/>
      <c r="K60" s="404"/>
      <c r="L60" s="366"/>
      <c r="M60" s="366"/>
      <c r="N60" s="366"/>
      <c r="O60" s="366"/>
      <c r="P60" s="366"/>
      <c r="Q60" s="366"/>
      <c r="R60" s="423"/>
      <c r="S60" s="423"/>
      <c r="T60" s="366"/>
      <c r="U60" s="366"/>
      <c r="V60" s="366"/>
      <c r="W60" s="366"/>
      <c r="X60" s="366"/>
      <c r="Y60" s="368"/>
    </row>
    <row r="61" spans="1:25">
      <c r="A61" s="367"/>
      <c r="B61" s="367"/>
      <c r="C61" s="536">
        <f>C59/C60</f>
        <v>2.5128205128205132</v>
      </c>
      <c r="D61" s="447"/>
      <c r="E61" s="447" t="s">
        <v>256</v>
      </c>
      <c r="F61" s="367"/>
      <c r="G61" s="447"/>
      <c r="H61" s="447"/>
      <c r="I61" s="537"/>
      <c r="J61" s="447"/>
      <c r="K61" s="447"/>
      <c r="L61" s="367"/>
      <c r="M61" s="367"/>
      <c r="N61" s="367"/>
      <c r="O61" s="367"/>
      <c r="P61" s="367"/>
      <c r="Q61" s="367"/>
      <c r="R61" s="466"/>
      <c r="S61" s="466"/>
      <c r="T61" s="367"/>
      <c r="U61" s="367"/>
      <c r="V61" s="367"/>
      <c r="W61" s="367"/>
      <c r="X61" s="367"/>
      <c r="Y61" s="368"/>
    </row>
    <row r="62" spans="1:25">
      <c r="A62" s="368"/>
      <c r="B62" s="368"/>
      <c r="C62" s="368"/>
      <c r="D62" s="401"/>
      <c r="E62" s="401"/>
      <c r="F62" s="368"/>
      <c r="G62" s="401"/>
      <c r="H62" s="368"/>
      <c r="I62" s="530"/>
      <c r="J62" s="368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</row>
    <row r="63" spans="1:25">
      <c r="A63" s="368"/>
      <c r="B63" s="368"/>
      <c r="C63" s="368"/>
      <c r="D63" s="401"/>
      <c r="E63" s="401"/>
      <c r="F63" s="368"/>
      <c r="G63" s="401"/>
      <c r="H63" s="368"/>
      <c r="I63" s="530"/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</row>
    <row r="64" spans="1:25">
      <c r="A64" s="368"/>
      <c r="B64" s="368"/>
      <c r="C64" s="368"/>
      <c r="D64" s="401"/>
      <c r="E64" s="401"/>
      <c r="F64" s="368"/>
      <c r="G64" s="454">
        <f>E55/G55</f>
        <v>4.0903487567663586</v>
      </c>
      <c r="H64" s="368"/>
      <c r="I64" s="530"/>
      <c r="J64" s="368"/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</row>
    <row r="65" spans="1:25">
      <c r="A65" s="368"/>
      <c r="B65" s="368"/>
      <c r="C65" s="368"/>
      <c r="D65" s="401"/>
      <c r="E65" s="401"/>
      <c r="F65" s="368"/>
      <c r="H65" s="368"/>
      <c r="I65" s="530"/>
      <c r="J65" s="368"/>
      <c r="K65" s="368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</row>
    <row r="66" spans="1:25">
      <c r="A66" s="368"/>
      <c r="B66" s="368"/>
      <c r="C66" s="368"/>
      <c r="D66" s="401"/>
      <c r="E66" s="401"/>
      <c r="F66" s="368"/>
      <c r="G66" s="401"/>
      <c r="H66" s="368"/>
      <c r="I66" s="530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</row>
    <row r="67" spans="1:25">
      <c r="A67" s="368"/>
      <c r="B67" s="368"/>
      <c r="C67" s="368"/>
      <c r="D67" s="401"/>
      <c r="E67" s="401"/>
      <c r="F67" s="368"/>
      <c r="G67" s="401"/>
      <c r="H67" s="368"/>
      <c r="I67" s="530"/>
      <c r="J67" s="368"/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</row>
    <row r="68" spans="1:25">
      <c r="A68" s="368"/>
      <c r="B68" s="368" t="s">
        <v>952</v>
      </c>
      <c r="C68" s="538">
        <f>AC44</f>
        <v>0</v>
      </c>
      <c r="D68" s="401"/>
      <c r="E68" s="401"/>
      <c r="F68" s="368"/>
      <c r="G68" s="401">
        <f>2.982*1.07</f>
        <v>3.1907400000000004</v>
      </c>
      <c r="H68" s="368"/>
      <c r="I68" s="530"/>
      <c r="J68" s="36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</row>
    <row r="69" spans="1:25">
      <c r="A69" s="368"/>
      <c r="B69" s="368"/>
      <c r="C69" s="368"/>
      <c r="D69" s="401"/>
      <c r="E69" s="401"/>
      <c r="F69" s="368"/>
      <c r="G69" s="401"/>
      <c r="H69" s="368"/>
      <c r="I69" s="530"/>
      <c r="J69" s="368"/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</row>
    <row r="70" spans="1:25">
      <c r="A70" s="368"/>
      <c r="B70" s="368"/>
      <c r="C70" s="368"/>
      <c r="D70" s="401"/>
      <c r="E70" s="401"/>
      <c r="F70" s="368"/>
      <c r="G70" s="401"/>
      <c r="H70" s="368"/>
      <c r="I70" s="530"/>
      <c r="J70" s="368"/>
      <c r="K70" s="368"/>
      <c r="L70" s="368"/>
      <c r="M70" s="368"/>
      <c r="N70" s="368"/>
      <c r="O70" s="368"/>
      <c r="P70" s="368"/>
      <c r="Q70" s="368"/>
      <c r="R70" s="368"/>
      <c r="S70" s="368"/>
      <c r="T70" s="368"/>
      <c r="U70" s="368"/>
      <c r="V70" s="368"/>
      <c r="W70" s="368"/>
      <c r="X70" s="368"/>
      <c r="Y70" s="368"/>
    </row>
    <row r="71" spans="1:25">
      <c r="A71" s="368"/>
      <c r="B71" s="368"/>
      <c r="C71" s="368"/>
      <c r="D71" s="401"/>
      <c r="E71" s="401"/>
      <c r="F71" s="368"/>
      <c r="G71" s="401"/>
      <c r="H71" s="368"/>
      <c r="I71" s="530"/>
      <c r="J71" s="368"/>
      <c r="K71" s="368"/>
      <c r="L71" s="368"/>
      <c r="M71" s="368"/>
      <c r="N71" s="368"/>
      <c r="O71" s="368"/>
      <c r="P71" s="368"/>
      <c r="Q71" s="368"/>
      <c r="R71" s="368"/>
      <c r="S71" s="368"/>
      <c r="T71" s="368"/>
      <c r="U71" s="368"/>
      <c r="V71" s="368"/>
      <c r="W71" s="368"/>
      <c r="X71" s="368"/>
      <c r="Y71" s="368"/>
    </row>
    <row r="72" spans="1:25">
      <c r="A72" s="368"/>
      <c r="B72" s="368"/>
      <c r="C72" s="368"/>
      <c r="D72" s="401"/>
      <c r="E72" s="401"/>
      <c r="F72" s="368"/>
      <c r="G72" s="401"/>
      <c r="H72" s="368"/>
      <c r="I72" s="530"/>
      <c r="J72" s="368"/>
      <c r="K72" s="368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</row>
    <row r="73" spans="1:25">
      <c r="A73" s="368"/>
      <c r="B73" s="368"/>
      <c r="C73" s="368"/>
      <c r="D73" s="401"/>
      <c r="E73" s="401"/>
      <c r="F73" s="368"/>
      <c r="G73" s="401"/>
      <c r="H73" s="368"/>
      <c r="I73" s="530"/>
      <c r="J73" s="368"/>
      <c r="K73" s="368"/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368"/>
      <c r="X73" s="368"/>
      <c r="Y73" s="368"/>
    </row>
    <row r="74" spans="1:25">
      <c r="A74" s="368"/>
      <c r="B74" s="368"/>
      <c r="C74" s="368"/>
      <c r="D74" s="401"/>
      <c r="E74" s="401"/>
      <c r="F74" s="368"/>
      <c r="G74" s="401"/>
      <c r="H74" s="368"/>
      <c r="I74" s="530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</row>
    <row r="75" spans="1:25" ht="16" thickBot="1">
      <c r="A75" s="540"/>
      <c r="B75" s="540"/>
      <c r="C75" s="540"/>
      <c r="D75" s="541"/>
      <c r="E75" s="541"/>
      <c r="F75" s="540"/>
      <c r="G75" s="541"/>
      <c r="H75" s="540"/>
      <c r="I75" s="542"/>
      <c r="J75" s="36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</row>
    <row r="76" spans="1:25">
      <c r="A76" s="368"/>
      <c r="B76" s="368"/>
      <c r="C76" s="368"/>
      <c r="D76" s="401"/>
      <c r="E76" s="401"/>
      <c r="F76" s="368"/>
      <c r="G76" s="401"/>
      <c r="H76" s="368"/>
      <c r="I76" s="368"/>
      <c r="J76" s="368"/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8"/>
      <c r="W76" s="368"/>
      <c r="X76" s="368"/>
      <c r="Y76" s="368"/>
    </row>
    <row r="77" spans="1:25">
      <c r="A77" s="368"/>
      <c r="B77" s="368"/>
      <c r="C77" s="368"/>
      <c r="D77" s="401"/>
      <c r="E77" s="401"/>
      <c r="F77" s="368"/>
      <c r="G77" s="401"/>
      <c r="H77" s="368"/>
      <c r="I77" s="368"/>
      <c r="J77" s="368"/>
      <c r="K77" s="368"/>
      <c r="L77" s="368"/>
      <c r="M77" s="368"/>
      <c r="N77" s="368"/>
      <c r="O77" s="368"/>
      <c r="P77" s="368"/>
      <c r="Q77" s="368"/>
      <c r="R77" s="368"/>
      <c r="S77" s="368"/>
      <c r="T77" s="368"/>
      <c r="U77" s="368"/>
      <c r="V77" s="368"/>
      <c r="W77" s="368"/>
      <c r="X77" s="368"/>
      <c r="Y77" s="368"/>
    </row>
    <row r="78" spans="1:25">
      <c r="A78" s="368"/>
      <c r="B78" s="368"/>
      <c r="C78" s="368"/>
      <c r="D78" s="401"/>
      <c r="E78" s="401"/>
      <c r="F78" s="368"/>
      <c r="G78" s="401"/>
      <c r="H78" s="368"/>
      <c r="I78" s="368"/>
      <c r="J78" s="368"/>
      <c r="K78" s="368"/>
      <c r="L78" s="368"/>
      <c r="M78" s="368"/>
      <c r="N78" s="368"/>
      <c r="O78" s="368"/>
      <c r="P78" s="368"/>
      <c r="Q78" s="368"/>
      <c r="R78" s="368"/>
      <c r="S78" s="368"/>
      <c r="T78" s="368"/>
      <c r="U78" s="368"/>
      <c r="V78" s="368"/>
      <c r="W78" s="368"/>
      <c r="X78" s="368"/>
      <c r="Y78" s="368"/>
    </row>
    <row r="79" spans="1:25">
      <c r="A79" s="368"/>
      <c r="B79" s="368"/>
      <c r="C79" s="368"/>
      <c r="D79" s="401"/>
      <c r="E79" s="401"/>
      <c r="F79" s="368"/>
      <c r="G79" s="401"/>
      <c r="H79" s="368"/>
      <c r="I79" s="368"/>
      <c r="J79" s="368"/>
      <c r="K79" s="368"/>
      <c r="L79" s="368"/>
      <c r="M79" s="368"/>
      <c r="N79" s="368"/>
      <c r="O79" s="368"/>
      <c r="P79" s="368"/>
      <c r="Q79" s="368"/>
      <c r="R79" s="368"/>
      <c r="S79" s="368"/>
      <c r="T79" s="368"/>
      <c r="U79" s="368"/>
      <c r="V79" s="368"/>
      <c r="W79" s="368"/>
      <c r="X79" s="368"/>
      <c r="Y79" s="368"/>
    </row>
  </sheetData>
  <mergeCells count="9">
    <mergeCell ref="A42:A43"/>
    <mergeCell ref="A58:I58"/>
    <mergeCell ref="A60:B60"/>
    <mergeCell ref="A1:Y1"/>
    <mergeCell ref="A9:A11"/>
    <mergeCell ref="A13:A15"/>
    <mergeCell ref="A25:A27"/>
    <mergeCell ref="A29:A31"/>
    <mergeCell ref="A39:A41"/>
  </mergeCells>
  <pageMargins left="0.7" right="0.7" top="0.78740157499999996" bottom="0.78740157499999996" header="0.3" footer="0.3"/>
  <pageSetup paperSize="9" orientation="portrait" verticalDpi="0" copies="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4:L21"/>
  <sheetViews>
    <sheetView workbookViewId="0">
      <selection activeCell="K17" sqref="K17"/>
    </sheetView>
  </sheetViews>
  <sheetFormatPr baseColWidth="10" defaultRowHeight="15"/>
  <sheetData>
    <row r="4" spans="7:12">
      <c r="K4">
        <v>6</v>
      </c>
    </row>
    <row r="5" spans="7:12" ht="28">
      <c r="G5" s="21" t="s">
        <v>1037</v>
      </c>
      <c r="I5">
        <v>3</v>
      </c>
      <c r="K5">
        <v>30</v>
      </c>
    </row>
    <row r="6" spans="7:12">
      <c r="I6">
        <v>31</v>
      </c>
      <c r="K6">
        <v>31</v>
      </c>
    </row>
    <row r="7" spans="7:12">
      <c r="I7">
        <v>31</v>
      </c>
      <c r="K7">
        <v>31</v>
      </c>
    </row>
    <row r="8" spans="7:12">
      <c r="I8">
        <v>28</v>
      </c>
      <c r="K8">
        <v>28</v>
      </c>
    </row>
    <row r="9" spans="7:12">
      <c r="I9">
        <v>31</v>
      </c>
      <c r="K9">
        <v>31</v>
      </c>
    </row>
    <row r="10" spans="7:12">
      <c r="I10">
        <v>30</v>
      </c>
      <c r="K10">
        <v>30</v>
      </c>
    </row>
    <row r="11" spans="7:12">
      <c r="I11">
        <v>31</v>
      </c>
      <c r="K11">
        <v>31</v>
      </c>
    </row>
    <row r="12" spans="7:12">
      <c r="I12">
        <v>30</v>
      </c>
      <c r="K12">
        <v>30</v>
      </c>
    </row>
    <row r="13" spans="7:12">
      <c r="I13">
        <v>31</v>
      </c>
      <c r="K13">
        <v>31</v>
      </c>
    </row>
    <row r="14" spans="7:12">
      <c r="I14">
        <v>31</v>
      </c>
      <c r="K14">
        <f>31-16</f>
        <v>15</v>
      </c>
      <c r="L14">
        <v>15</v>
      </c>
    </row>
    <row r="15" spans="7:12">
      <c r="I15">
        <v>30</v>
      </c>
      <c r="L15">
        <v>8</v>
      </c>
    </row>
    <row r="16" spans="7:12">
      <c r="I16">
        <v>27</v>
      </c>
    </row>
    <row r="17" spans="6:12">
      <c r="I17" s="659">
        <f>SUM(I5:I16)</f>
        <v>334</v>
      </c>
      <c r="J17" s="659">
        <f t="shared" ref="J17:L17" si="0">SUM(J5:J16)</f>
        <v>0</v>
      </c>
      <c r="K17" s="659">
        <f t="shared" si="0"/>
        <v>288</v>
      </c>
      <c r="L17" s="659">
        <f t="shared" si="0"/>
        <v>23</v>
      </c>
    </row>
    <row r="20" spans="6:12" ht="28">
      <c r="F20" s="21" t="s">
        <v>1039</v>
      </c>
    </row>
    <row r="21" spans="6:12" ht="28">
      <c r="F21" s="21" t="s">
        <v>1040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6"/>
  <sheetViews>
    <sheetView topLeftCell="A20" workbookViewId="0">
      <selection activeCell="E36" sqref="E36"/>
    </sheetView>
  </sheetViews>
  <sheetFormatPr baseColWidth="10" defaultRowHeight="15"/>
  <cols>
    <col min="5" max="5" width="13.1640625" customWidth="1"/>
  </cols>
  <sheetData>
    <row r="1" spans="1:25" ht="40.5" customHeight="1">
      <c r="A1" s="669" t="s">
        <v>938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</row>
    <row r="2" spans="1:25" ht="16" thickBot="1">
      <c r="A2" s="369"/>
      <c r="B2" s="369"/>
      <c r="C2" s="369"/>
      <c r="D2" s="370"/>
      <c r="E2" s="370"/>
      <c r="F2" s="369"/>
      <c r="G2" s="370"/>
      <c r="H2" s="370"/>
      <c r="I2" s="370"/>
      <c r="J2" s="370"/>
      <c r="K2" s="370"/>
      <c r="L2" s="369"/>
      <c r="M2" s="369"/>
      <c r="N2" s="369"/>
      <c r="O2" s="369"/>
      <c r="P2" s="369"/>
      <c r="Q2" s="369"/>
      <c r="R2" s="371"/>
      <c r="S2" s="371"/>
      <c r="T2" s="369"/>
      <c r="U2" s="369"/>
      <c r="V2" s="369"/>
      <c r="W2" s="369"/>
      <c r="X2" s="369"/>
      <c r="Y2" s="369"/>
    </row>
    <row r="3" spans="1:25" ht="112">
      <c r="A3" s="353" t="s">
        <v>736</v>
      </c>
      <c r="B3" s="354"/>
      <c r="C3" s="354" t="s">
        <v>185</v>
      </c>
      <c r="D3" s="354" t="s">
        <v>186</v>
      </c>
      <c r="E3" s="354" t="s">
        <v>187</v>
      </c>
      <c r="F3" s="354" t="s">
        <v>188</v>
      </c>
      <c r="G3" s="354" t="s">
        <v>189</v>
      </c>
      <c r="H3" s="355" t="s">
        <v>651</v>
      </c>
      <c r="I3" s="354" t="s">
        <v>190</v>
      </c>
      <c r="J3" s="354"/>
      <c r="K3" s="354" t="s">
        <v>652</v>
      </c>
      <c r="L3" s="354" t="s">
        <v>655</v>
      </c>
      <c r="M3" s="355" t="s">
        <v>656</v>
      </c>
      <c r="N3" s="355" t="s">
        <v>728</v>
      </c>
      <c r="O3" s="354" t="s">
        <v>192</v>
      </c>
      <c r="P3" s="355" t="s">
        <v>658</v>
      </c>
      <c r="Q3" s="354" t="s">
        <v>193</v>
      </c>
      <c r="R3" s="354" t="s">
        <v>657</v>
      </c>
      <c r="S3" s="356" t="s">
        <v>654</v>
      </c>
      <c r="T3" s="296" t="s">
        <v>195</v>
      </c>
      <c r="U3" s="7" t="s">
        <v>196</v>
      </c>
      <c r="V3" s="7" t="s">
        <v>654</v>
      </c>
      <c r="W3" s="7" t="s">
        <v>653</v>
      </c>
      <c r="X3" s="57" t="s">
        <v>197</v>
      </c>
      <c r="Y3" s="7" t="s">
        <v>198</v>
      </c>
    </row>
    <row r="4" spans="1:25" ht="54" customHeight="1">
      <c r="A4" s="230"/>
      <c r="B4" s="379"/>
      <c r="C4" s="21"/>
      <c r="D4" s="447"/>
      <c r="E4" s="582"/>
      <c r="F4" s="582"/>
      <c r="G4" s="583"/>
      <c r="H4" s="36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32"/>
      <c r="W4" s="232"/>
      <c r="X4" s="231"/>
      <c r="Y4" s="231"/>
    </row>
    <row r="5" spans="1:25" s="110" customFormat="1" ht="30">
      <c r="A5" s="675" t="s">
        <v>154</v>
      </c>
      <c r="B5" s="565" t="s">
        <v>845</v>
      </c>
      <c r="C5" s="560" t="s">
        <v>844</v>
      </c>
      <c r="D5" s="566">
        <f>76+224+22</f>
        <v>322</v>
      </c>
      <c r="E5" s="567">
        <v>2324</v>
      </c>
      <c r="F5" s="567">
        <v>2858</v>
      </c>
      <c r="G5" s="586">
        <f>F5-E5</f>
        <v>534</v>
      </c>
      <c r="H5" s="565">
        <v>130.96</v>
      </c>
      <c r="I5" s="560">
        <f>((130.96/365)*D5)</f>
        <v>115.53183561643837</v>
      </c>
      <c r="J5" s="560"/>
      <c r="K5" s="560">
        <v>1.07</v>
      </c>
      <c r="L5" s="560">
        <f>ROUND(1.07*I5,2)</f>
        <v>123.62</v>
      </c>
      <c r="M5" s="584">
        <f>(26.87+80.87+7.89)*1.07</f>
        <v>123.72410000000002</v>
      </c>
      <c r="N5" s="560">
        <v>271.58879999999999</v>
      </c>
      <c r="O5" s="560">
        <f>G5*2.715888</f>
        <v>1450.2841920000001</v>
      </c>
      <c r="P5" s="560">
        <f>342.62+1004.88+97.77</f>
        <v>1445.27</v>
      </c>
      <c r="Q5" s="560">
        <f>ROUND(1.07*P5,2)</f>
        <v>1546.44</v>
      </c>
      <c r="R5" s="560">
        <f>L5+Q5</f>
        <v>1670.06</v>
      </c>
      <c r="S5" s="560"/>
      <c r="T5" s="560">
        <v>1669.63</v>
      </c>
      <c r="U5" s="560"/>
      <c r="V5" s="561"/>
      <c r="W5" s="20"/>
      <c r="X5" s="21"/>
      <c r="Y5" s="21"/>
    </row>
    <row r="6" spans="1:25" s="110" customFormat="1" ht="30">
      <c r="A6" s="675"/>
      <c r="B6" s="565" t="s">
        <v>842</v>
      </c>
      <c r="C6" s="560" t="s">
        <v>843</v>
      </c>
      <c r="D6" s="566">
        <f>50+2</f>
        <v>52</v>
      </c>
      <c r="E6" s="567">
        <v>2858</v>
      </c>
      <c r="F6" s="567">
        <v>2972</v>
      </c>
      <c r="G6" s="566">
        <f>F6-E6</f>
        <v>114</v>
      </c>
      <c r="H6" s="565">
        <v>130.96</v>
      </c>
      <c r="I6" s="560">
        <f>((130.96/365)*D6)</f>
        <v>18.657315068493155</v>
      </c>
      <c r="J6" s="560"/>
      <c r="K6" s="560">
        <v>1.07</v>
      </c>
      <c r="L6" s="560">
        <f>ROUND(1.07*I6,2)</f>
        <v>19.96</v>
      </c>
      <c r="M6" s="560">
        <v>23.03</v>
      </c>
      <c r="N6" s="560">
        <v>271.58879999999999</v>
      </c>
      <c r="O6" s="560">
        <f>G6*2.715888</f>
        <v>309.61123200000003</v>
      </c>
      <c r="P6" s="562">
        <f>(309.61+1.14)*1.07</f>
        <v>332.5025</v>
      </c>
      <c r="Q6" s="560">
        <f t="shared" ref="Q6" si="0">ROUND(1.07*O6,2)</f>
        <v>331.28</v>
      </c>
      <c r="R6" s="560">
        <f>L6+Q6</f>
        <v>351.23999999999995</v>
      </c>
      <c r="S6" s="560"/>
      <c r="T6" s="562">
        <v>352.08</v>
      </c>
      <c r="U6" s="560"/>
      <c r="V6" s="561"/>
      <c r="W6" s="20"/>
      <c r="X6" s="21"/>
      <c r="Y6" s="21"/>
    </row>
    <row r="7" spans="1:25" s="110" customFormat="1">
      <c r="A7" s="675"/>
      <c r="B7" s="565"/>
      <c r="C7" s="560"/>
      <c r="D7" s="566"/>
      <c r="E7" s="567"/>
      <c r="F7" s="567"/>
      <c r="G7" s="566"/>
      <c r="H7" s="565"/>
      <c r="I7" s="560"/>
      <c r="J7" s="560"/>
      <c r="K7" s="560"/>
      <c r="L7" s="560"/>
      <c r="M7" s="560"/>
      <c r="N7" s="560"/>
      <c r="O7" s="560"/>
      <c r="P7" s="562"/>
      <c r="Q7" s="560"/>
      <c r="R7" s="560"/>
      <c r="S7" s="560"/>
      <c r="T7" s="562"/>
      <c r="U7" s="560"/>
      <c r="V7" s="561"/>
      <c r="W7" s="20"/>
      <c r="X7" s="21"/>
      <c r="Y7" s="21"/>
    </row>
    <row r="8" spans="1:25" s="110" customFormat="1">
      <c r="A8" s="675"/>
      <c r="B8" s="565"/>
      <c r="C8" s="560"/>
      <c r="D8" s="566"/>
      <c r="E8" s="567"/>
      <c r="F8" s="567"/>
      <c r="G8" s="566"/>
      <c r="H8" s="565"/>
      <c r="I8" s="560"/>
      <c r="J8" s="560"/>
      <c r="K8" s="560"/>
      <c r="L8" s="560"/>
      <c r="M8" s="560"/>
      <c r="N8" s="560"/>
      <c r="O8" s="560"/>
      <c r="P8" s="562"/>
      <c r="Q8" s="560"/>
      <c r="R8" s="560"/>
      <c r="S8" s="560"/>
      <c r="T8" s="562"/>
      <c r="U8" s="560"/>
      <c r="V8" s="561"/>
      <c r="W8" s="20"/>
      <c r="X8" s="21"/>
      <c r="Y8" s="21"/>
    </row>
    <row r="9" spans="1:25" s="110" customFormat="1">
      <c r="A9" s="675"/>
      <c r="B9" s="565"/>
      <c r="C9" s="560"/>
      <c r="D9" s="566"/>
      <c r="E9" s="567"/>
      <c r="F9" s="567"/>
      <c r="G9" s="566"/>
      <c r="H9" s="565"/>
      <c r="I9" s="560"/>
      <c r="J9" s="560"/>
      <c r="K9" s="560"/>
      <c r="L9" s="560"/>
      <c r="M9" s="560"/>
      <c r="N9" s="560"/>
      <c r="O9" s="560"/>
      <c r="P9" s="562"/>
      <c r="Q9" s="560"/>
      <c r="R9" s="560"/>
      <c r="S9" s="560"/>
      <c r="T9" s="562"/>
      <c r="U9" s="560"/>
      <c r="V9" s="561"/>
      <c r="W9" s="20"/>
      <c r="X9" s="21"/>
      <c r="Y9" s="21"/>
    </row>
    <row r="10" spans="1:25" s="110" customFormat="1">
      <c r="A10" s="675"/>
      <c r="B10" s="565"/>
      <c r="C10" s="560"/>
      <c r="D10" s="566"/>
      <c r="E10" s="567"/>
      <c r="F10" s="567"/>
      <c r="G10" s="566"/>
      <c r="H10" s="565"/>
      <c r="I10" s="560"/>
      <c r="J10" s="560"/>
      <c r="K10" s="560"/>
      <c r="L10" s="560"/>
      <c r="M10" s="560"/>
      <c r="N10" s="560"/>
      <c r="O10" s="560"/>
      <c r="P10" s="562"/>
      <c r="Q10" s="560"/>
      <c r="R10" s="560"/>
      <c r="S10" s="560"/>
      <c r="T10" s="562"/>
      <c r="U10" s="560"/>
      <c r="V10" s="561"/>
      <c r="W10" s="20"/>
      <c r="X10" s="21"/>
      <c r="Y10" s="21"/>
    </row>
    <row r="11" spans="1:25" s="110" customFormat="1">
      <c r="A11" s="675"/>
      <c r="B11" s="565"/>
      <c r="C11" s="560"/>
      <c r="D11" s="566"/>
      <c r="E11" s="567"/>
      <c r="F11" s="567"/>
      <c r="G11" s="566"/>
      <c r="H11" s="565"/>
      <c r="I11" s="560"/>
      <c r="J11" s="560"/>
      <c r="K11" s="560"/>
      <c r="L11" s="560"/>
      <c r="M11" s="560"/>
      <c r="N11" s="560"/>
      <c r="O11" s="560"/>
      <c r="P11" s="562"/>
      <c r="Q11" s="560"/>
      <c r="R11" s="560"/>
      <c r="S11" s="560"/>
      <c r="T11" s="562"/>
      <c r="U11" s="560"/>
      <c r="V11" s="561"/>
      <c r="W11" s="20"/>
      <c r="X11" s="21"/>
      <c r="Y11" s="21"/>
    </row>
    <row r="12" spans="1:25" s="110" customFormat="1" ht="16" thickBot="1">
      <c r="A12" s="675"/>
      <c r="B12" s="565"/>
      <c r="C12" s="560"/>
      <c r="D12" s="566"/>
      <c r="E12" s="567"/>
      <c r="F12" s="567"/>
      <c r="G12" s="566"/>
      <c r="H12" s="565"/>
      <c r="I12" s="560"/>
      <c r="J12" s="560"/>
      <c r="K12" s="560"/>
      <c r="L12" s="560"/>
      <c r="M12" s="560"/>
      <c r="N12" s="560"/>
      <c r="O12" s="560"/>
      <c r="P12" s="562"/>
      <c r="Q12" s="560"/>
      <c r="R12" s="560"/>
      <c r="S12" s="560"/>
      <c r="T12" s="562"/>
      <c r="U12" s="560"/>
      <c r="V12" s="561"/>
      <c r="W12" s="20"/>
      <c r="X12" s="21"/>
      <c r="Y12" s="21"/>
    </row>
    <row r="13" spans="1:25" s="110" customFormat="1" ht="16" thickBot="1">
      <c r="A13" s="675"/>
      <c r="B13" s="568" t="s">
        <v>727</v>
      </c>
      <c r="C13" s="560"/>
      <c r="D13" s="569">
        <f>SUM(D5:D6)</f>
        <v>374</v>
      </c>
      <c r="E13" s="566"/>
      <c r="F13" s="565"/>
      <c r="G13" s="594">
        <f>SUM(G5:G6)</f>
        <v>648</v>
      </c>
      <c r="H13" s="565"/>
      <c r="I13" s="563">
        <f>SUM(I5:I6)</f>
        <v>134.18915068493152</v>
      </c>
      <c r="J13" s="560"/>
      <c r="K13" s="560"/>
      <c r="L13" s="563">
        <f>SUM(L5:L6)</f>
        <v>143.58000000000001</v>
      </c>
      <c r="M13" s="560"/>
      <c r="N13" s="560"/>
      <c r="O13" s="563">
        <f>SUM(O5:O6)</f>
        <v>1759.895424</v>
      </c>
      <c r="P13" s="560"/>
      <c r="Q13" s="575">
        <f>SUM(Q5:Q6)</f>
        <v>1877.72</v>
      </c>
      <c r="R13" s="574">
        <f>SUM(R5:R6)</f>
        <v>2021.3</v>
      </c>
      <c r="S13" s="560"/>
      <c r="T13" s="563">
        <f>SUM(T5:T6)</f>
        <v>2021.71</v>
      </c>
      <c r="U13" s="560"/>
      <c r="V13" s="561"/>
      <c r="W13" s="20"/>
      <c r="X13" s="21"/>
      <c r="Y13" s="21"/>
    </row>
    <row r="14" spans="1:25" s="110" customFormat="1">
      <c r="A14" s="6"/>
      <c r="B14" s="565"/>
      <c r="C14" s="560"/>
      <c r="D14" s="566"/>
      <c r="E14" s="566"/>
      <c r="F14" s="565"/>
      <c r="G14" s="566"/>
      <c r="H14" s="565"/>
      <c r="I14" s="560"/>
      <c r="J14" s="560"/>
      <c r="K14" s="560"/>
      <c r="L14" s="560"/>
      <c r="M14" s="560"/>
      <c r="N14" s="560"/>
      <c r="O14" s="560"/>
      <c r="P14" s="560"/>
      <c r="Q14" s="560"/>
      <c r="R14" s="560"/>
      <c r="S14" s="560"/>
      <c r="T14" s="560"/>
      <c r="U14" s="560"/>
      <c r="V14" s="561"/>
      <c r="W14" s="20"/>
      <c r="X14" s="21"/>
      <c r="Y14" s="21"/>
    </row>
    <row r="15" spans="1:25" s="110" customFormat="1">
      <c r="A15" s="6"/>
      <c r="B15" s="565"/>
      <c r="C15" s="560"/>
      <c r="D15" s="566"/>
      <c r="E15" s="580">
        <v>2720.2420000000002</v>
      </c>
      <c r="F15" s="581">
        <v>3531.08</v>
      </c>
      <c r="G15" s="580">
        <f>F15-E15</f>
        <v>810.83799999999974</v>
      </c>
      <c r="H15" s="565"/>
      <c r="I15" s="560"/>
      <c r="J15" s="560"/>
      <c r="K15" s="560"/>
      <c r="L15" s="560"/>
      <c r="M15" s="560"/>
      <c r="N15" s="560"/>
      <c r="O15" s="560"/>
      <c r="P15" s="560"/>
      <c r="Q15" s="560"/>
      <c r="R15" s="560"/>
      <c r="S15" s="560"/>
      <c r="T15" s="560"/>
      <c r="U15" s="560"/>
      <c r="V15" s="561"/>
      <c r="W15" s="20"/>
      <c r="X15" s="21"/>
      <c r="Y15" s="21"/>
    </row>
    <row r="16" spans="1:25" s="110" customFormat="1" ht="15.75" customHeight="1">
      <c r="A16" s="675" t="s">
        <v>311</v>
      </c>
      <c r="B16" s="565" t="s">
        <v>846</v>
      </c>
      <c r="C16" s="560" t="s">
        <v>849</v>
      </c>
      <c r="D16" s="566">
        <f>45+224+22</f>
        <v>291</v>
      </c>
      <c r="E16" s="566">
        <v>2102</v>
      </c>
      <c r="F16" s="565">
        <v>2657</v>
      </c>
      <c r="G16" s="566">
        <f>F16-E16</f>
        <v>555</v>
      </c>
      <c r="H16" s="565">
        <v>130.96</v>
      </c>
      <c r="I16" s="560">
        <f>((129.02/365)*D16)</f>
        <v>102.86252054794521</v>
      </c>
      <c r="J16" s="560"/>
      <c r="K16" s="560">
        <v>1.07</v>
      </c>
      <c r="L16" s="560">
        <f>ROUND(1.07*I16,2)</f>
        <v>110.06</v>
      </c>
      <c r="M16" s="560"/>
      <c r="N16" s="560">
        <v>271.58879999999999</v>
      </c>
      <c r="O16" s="560">
        <f>G16*2.715888</f>
        <v>1507.3178399999999</v>
      </c>
      <c r="P16" s="560">
        <f>230.19+1159.68+114.07</f>
        <v>1503.94</v>
      </c>
      <c r="Q16" s="560">
        <f>ROUND(1.07*O16,2)</f>
        <v>1612.83</v>
      </c>
      <c r="R16" s="560">
        <f>L16+Q16</f>
        <v>1722.8899999999999</v>
      </c>
      <c r="S16" s="560"/>
      <c r="T16" s="560"/>
      <c r="U16" s="560"/>
      <c r="V16" s="561"/>
      <c r="W16" s="20"/>
      <c r="X16" s="21"/>
      <c r="Y16" s="21"/>
    </row>
    <row r="17" spans="1:25" s="110" customFormat="1" ht="15" customHeight="1" thickBot="1">
      <c r="A17" s="675"/>
      <c r="B17" s="565" t="s">
        <v>848</v>
      </c>
      <c r="C17" s="560" t="s">
        <v>847</v>
      </c>
      <c r="D17" s="566">
        <f>30+27</f>
        <v>57</v>
      </c>
      <c r="E17" s="566">
        <v>2657</v>
      </c>
      <c r="F17" s="581">
        <v>2720</v>
      </c>
      <c r="G17" s="566">
        <f>F17-E17</f>
        <v>63</v>
      </c>
      <c r="H17" s="565">
        <v>130.96</v>
      </c>
      <c r="I17" s="560">
        <f>((129.02/365)*D17)</f>
        <v>20.148328767123289</v>
      </c>
      <c r="J17" s="560"/>
      <c r="K17" s="560">
        <v>1.07</v>
      </c>
      <c r="L17" s="560">
        <f>ROUND(1.07*I17,2)</f>
        <v>21.56</v>
      </c>
      <c r="M17" s="560"/>
      <c r="N17" s="560">
        <v>271.58879999999999</v>
      </c>
      <c r="O17" s="560">
        <f>G17*2.715888</f>
        <v>171.100944</v>
      </c>
      <c r="P17" s="562"/>
      <c r="Q17" s="560">
        <f>ROUND(1.07*O17,2)</f>
        <v>183.08</v>
      </c>
      <c r="R17" s="560">
        <f>L17+Q17</f>
        <v>204.64000000000001</v>
      </c>
      <c r="S17" s="560"/>
      <c r="T17" s="570"/>
      <c r="U17" s="560"/>
      <c r="V17" s="561"/>
      <c r="W17" s="20"/>
      <c r="X17" s="21"/>
      <c r="Y17" s="21"/>
    </row>
    <row r="18" spans="1:25" s="110" customFormat="1" ht="16" thickBot="1">
      <c r="A18" s="675"/>
      <c r="B18" s="568" t="s">
        <v>733</v>
      </c>
      <c r="C18" s="560"/>
      <c r="D18" s="569">
        <f>SUM(D16:D17)</f>
        <v>348</v>
      </c>
      <c r="E18" s="566"/>
      <c r="F18" s="565"/>
      <c r="G18" s="569">
        <f>SUM(G16:G17)</f>
        <v>618</v>
      </c>
      <c r="H18" s="565"/>
      <c r="I18" s="563">
        <f>SUM(I16:I17)</f>
        <v>123.0108493150685</v>
      </c>
      <c r="J18" s="560"/>
      <c r="K18" s="560"/>
      <c r="L18" s="563">
        <f>SUM(L16:L17)</f>
        <v>131.62</v>
      </c>
      <c r="M18" s="560"/>
      <c r="N18" s="560"/>
      <c r="O18" s="563">
        <f>SUM(O16:O17)</f>
        <v>1678.418784</v>
      </c>
      <c r="P18" s="560"/>
      <c r="Q18" s="575">
        <f>SUM(Q16:Q17)</f>
        <v>1795.9099999999999</v>
      </c>
      <c r="R18" s="576">
        <f>SUM(R16:R17)</f>
        <v>1927.53</v>
      </c>
      <c r="S18" s="560"/>
      <c r="T18" s="563"/>
      <c r="U18" s="560"/>
      <c r="V18" s="561"/>
      <c r="W18" s="20"/>
      <c r="X18" s="21"/>
      <c r="Y18" s="21"/>
    </row>
    <row r="19" spans="1:25" s="110" customFormat="1">
      <c r="A19" s="6"/>
      <c r="B19" s="565"/>
      <c r="C19" s="560"/>
      <c r="D19" s="566"/>
      <c r="E19" s="566"/>
      <c r="F19" s="565"/>
      <c r="G19" s="566"/>
      <c r="H19" s="565"/>
      <c r="I19" s="560"/>
      <c r="J19" s="560"/>
      <c r="K19" s="560"/>
      <c r="L19" s="560"/>
      <c r="M19" s="560"/>
      <c r="N19" s="560"/>
      <c r="O19" s="560"/>
      <c r="P19" s="560"/>
      <c r="Q19" s="560"/>
      <c r="R19" s="560"/>
      <c r="S19" s="560"/>
      <c r="T19" s="560"/>
      <c r="U19" s="560"/>
      <c r="V19" s="561"/>
      <c r="W19" s="20"/>
      <c r="X19" s="21"/>
      <c r="Y19" s="21"/>
    </row>
    <row r="20" spans="1:25" s="110" customFormat="1" ht="61" thickBot="1">
      <c r="A20" s="6" t="s">
        <v>734</v>
      </c>
      <c r="B20" s="366" t="s">
        <v>850</v>
      </c>
      <c r="C20" s="585" t="s">
        <v>735</v>
      </c>
      <c r="D20" s="588">
        <f>61+304</f>
        <v>365</v>
      </c>
      <c r="E20" s="589">
        <v>4</v>
      </c>
      <c r="F20" s="589">
        <v>13</v>
      </c>
      <c r="G20" s="588">
        <f>F20-E20</f>
        <v>9</v>
      </c>
      <c r="H20" s="590">
        <v>48.38</v>
      </c>
      <c r="I20" s="591">
        <f>((H20/365)*D20)</f>
        <v>48.38</v>
      </c>
      <c r="J20" s="591"/>
      <c r="K20" s="591">
        <v>1.07</v>
      </c>
      <c r="L20" s="591">
        <f>ROUND(1.05*I20,2)</f>
        <v>50.8</v>
      </c>
      <c r="M20" s="591"/>
      <c r="N20" s="591">
        <v>271.58879999999999</v>
      </c>
      <c r="O20" s="592">
        <f>G20*2.67668</f>
        <v>24.090120000000002</v>
      </c>
      <c r="P20" s="591">
        <f>5.27+18.74</f>
        <v>24.009999999999998</v>
      </c>
      <c r="Q20" s="591">
        <f t="shared" ref="Q20" si="1">ROUND(1.07*O20,2)</f>
        <v>25.78</v>
      </c>
      <c r="R20" s="591">
        <f>L20+Q20</f>
        <v>76.58</v>
      </c>
      <c r="S20" s="591"/>
      <c r="T20" s="591">
        <v>77.05</v>
      </c>
      <c r="U20" s="560"/>
      <c r="V20" s="561"/>
      <c r="W20" s="20"/>
      <c r="X20" s="21"/>
      <c r="Y20" s="21"/>
    </row>
    <row r="21" spans="1:25" s="110" customFormat="1" ht="76" thickBot="1">
      <c r="A21" s="6"/>
      <c r="B21" s="572" t="s">
        <v>852</v>
      </c>
      <c r="C21" s="560" t="s">
        <v>851</v>
      </c>
      <c r="D21" s="566">
        <v>365</v>
      </c>
      <c r="E21" s="566">
        <v>0.25</v>
      </c>
      <c r="F21" s="573">
        <v>15</v>
      </c>
      <c r="G21" s="566">
        <f>F21-E21</f>
        <v>14.75</v>
      </c>
      <c r="H21" s="587">
        <v>48.38</v>
      </c>
      <c r="I21" s="560">
        <f>((H21/365)*D21)</f>
        <v>48.38</v>
      </c>
      <c r="J21" s="560"/>
      <c r="K21" s="560">
        <v>1.07</v>
      </c>
      <c r="L21" s="560">
        <f>ROUND(1.05*I21,2)</f>
        <v>50.8</v>
      </c>
      <c r="M21" s="560"/>
      <c r="N21" s="560">
        <v>271.58800000000002</v>
      </c>
      <c r="O21" s="560">
        <f>G21*2.715888</f>
        <v>40.059348</v>
      </c>
      <c r="P21" s="562"/>
      <c r="Q21" s="560">
        <f>ROUND(1.07*O21,2)</f>
        <v>42.86</v>
      </c>
      <c r="R21" s="574">
        <f>L21+Q21</f>
        <v>93.66</v>
      </c>
      <c r="S21" s="560"/>
      <c r="T21" s="562"/>
      <c r="U21" s="560"/>
      <c r="V21" s="561"/>
      <c r="W21" s="20"/>
      <c r="X21" s="21"/>
      <c r="Y21" s="21"/>
    </row>
    <row r="22" spans="1:25" ht="16" thickBot="1">
      <c r="A22" s="6"/>
      <c r="B22" s="367"/>
      <c r="C22" s="21"/>
      <c r="D22" s="447"/>
      <c r="E22" s="447"/>
      <c r="F22" s="367"/>
      <c r="G22" s="447"/>
      <c r="H22" s="367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0"/>
      <c r="W22" s="20"/>
      <c r="X22" s="21"/>
      <c r="Y22" s="21"/>
    </row>
    <row r="23" spans="1:25" ht="57" thickBot="1">
      <c r="A23" s="665" t="s">
        <v>741</v>
      </c>
      <c r="B23" s="577" t="s">
        <v>636</v>
      </c>
      <c r="C23" s="555"/>
      <c r="D23" s="578"/>
      <c r="E23" s="577">
        <v>23.25</v>
      </c>
      <c r="F23" s="578">
        <v>27.099</v>
      </c>
      <c r="G23" s="579">
        <f>F23-E23</f>
        <v>3.8490000000000002</v>
      </c>
      <c r="H23" s="367"/>
      <c r="I23" s="21"/>
      <c r="J23" s="21"/>
      <c r="K23" s="21"/>
      <c r="L23" s="21"/>
      <c r="M23" s="21"/>
      <c r="N23" s="21"/>
      <c r="O23" s="21"/>
      <c r="P23" s="21"/>
      <c r="Q23" s="21"/>
      <c r="R23" s="593">
        <f>R21+R18+R13</f>
        <v>4042.49</v>
      </c>
      <c r="S23" s="205" t="s">
        <v>855</v>
      </c>
      <c r="T23" s="21"/>
      <c r="U23" s="21"/>
      <c r="V23" s="20"/>
      <c r="W23" s="20"/>
      <c r="X23" s="21"/>
      <c r="Y23" s="21"/>
    </row>
    <row r="24" spans="1:25">
      <c r="A24" s="665"/>
      <c r="B24" s="577" t="s">
        <v>740</v>
      </c>
      <c r="C24" s="555"/>
      <c r="D24" s="578"/>
      <c r="E24" s="578"/>
      <c r="F24" s="577">
        <v>6.62</v>
      </c>
      <c r="G24" s="578"/>
      <c r="H24" s="367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0"/>
      <c r="W24" s="20"/>
      <c r="X24" s="21"/>
      <c r="Y24" s="21"/>
    </row>
    <row r="25" spans="1:25">
      <c r="A25" s="6"/>
      <c r="B25" s="367"/>
      <c r="C25" s="21"/>
      <c r="D25" s="447"/>
      <c r="E25" s="447"/>
      <c r="F25" s="367"/>
      <c r="G25" s="447"/>
      <c r="H25" s="367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0"/>
      <c r="W25" s="20"/>
      <c r="X25" s="21"/>
      <c r="Y25" s="21"/>
    </row>
    <row r="26" spans="1:25" ht="16" thickBot="1">
      <c r="A26" s="368"/>
      <c r="B26" s="368"/>
      <c r="C26" s="368"/>
      <c r="D26" s="401"/>
      <c r="E26" s="401"/>
      <c r="F26" s="368"/>
      <c r="G26" s="6"/>
      <c r="H26" s="6"/>
      <c r="I26" s="401"/>
      <c r="J26" s="401"/>
      <c r="K26" s="401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</row>
    <row r="27" spans="1:25" ht="46">
      <c r="A27" s="523"/>
      <c r="B27" s="523"/>
      <c r="C27" s="523"/>
      <c r="D27" s="524"/>
      <c r="E27" s="525" t="s">
        <v>682</v>
      </c>
      <c r="F27" s="523"/>
      <c r="G27" s="526" t="s">
        <v>683</v>
      </c>
      <c r="H27" s="526"/>
      <c r="I27" s="527"/>
      <c r="J27" s="401"/>
      <c r="K27" s="401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</row>
    <row r="28" spans="1:25">
      <c r="A28" s="368"/>
      <c r="B28" s="368"/>
      <c r="C28" s="368"/>
      <c r="D28" s="401"/>
      <c r="E28" s="401"/>
      <c r="F28" s="368"/>
      <c r="G28" s="6"/>
      <c r="H28" s="6"/>
      <c r="I28" s="529"/>
      <c r="J28" s="401"/>
      <c r="K28" s="401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8"/>
      <c r="W28" s="368"/>
      <c r="X28" s="368"/>
      <c r="Y28" s="368"/>
    </row>
    <row r="29" spans="1:25">
      <c r="A29" s="368"/>
      <c r="B29" s="368"/>
      <c r="C29" s="368"/>
      <c r="D29" s="401"/>
      <c r="E29" s="401"/>
      <c r="F29" s="368"/>
      <c r="G29" s="6"/>
      <c r="H29" s="6"/>
      <c r="I29" s="529"/>
      <c r="J29" s="401"/>
      <c r="K29" s="401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</row>
    <row r="30" spans="1:25">
      <c r="A30" s="368"/>
      <c r="B30" s="368"/>
      <c r="C30" s="459" t="s">
        <v>672</v>
      </c>
      <c r="D30" s="368"/>
      <c r="E30" s="344">
        <f>R13</f>
        <v>2021.3</v>
      </c>
      <c r="F30" s="368"/>
      <c r="G30" s="556">
        <f>G13</f>
        <v>648</v>
      </c>
      <c r="H30" s="519" t="s">
        <v>235</v>
      </c>
      <c r="I30" s="529"/>
      <c r="J30" s="401"/>
      <c r="K30" s="401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</row>
    <row r="31" spans="1:25">
      <c r="A31" s="368"/>
      <c r="B31" s="368"/>
      <c r="C31" s="368"/>
      <c r="D31" s="459"/>
      <c r="E31" s="459"/>
      <c r="F31" s="368"/>
      <c r="G31" s="401"/>
      <c r="H31" s="368"/>
      <c r="I31" s="530"/>
      <c r="J31" s="368"/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</row>
    <row r="32" spans="1:25">
      <c r="A32" s="368"/>
      <c r="B32" s="368"/>
      <c r="C32" s="459" t="s">
        <v>673</v>
      </c>
      <c r="D32" s="368"/>
      <c r="E32" s="344">
        <f>R18</f>
        <v>1927.53</v>
      </c>
      <c r="F32" s="368"/>
      <c r="G32" s="557">
        <f>G18</f>
        <v>618</v>
      </c>
      <c r="H32" s="519" t="s">
        <v>235</v>
      </c>
      <c r="I32" s="530"/>
      <c r="J32" s="368"/>
      <c r="K32" s="368"/>
      <c r="L32" s="368"/>
      <c r="M32" s="368"/>
      <c r="N32" s="368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</row>
    <row r="33" spans="1:25">
      <c r="A33" s="368"/>
      <c r="B33" s="368"/>
      <c r="C33" s="368"/>
      <c r="D33" s="368"/>
      <c r="E33" s="368"/>
      <c r="F33" s="368"/>
      <c r="G33" s="401"/>
      <c r="H33" s="368"/>
      <c r="I33" s="530"/>
      <c r="J33" s="368"/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</row>
    <row r="34" spans="1:25">
      <c r="A34" s="368"/>
      <c r="B34" s="368"/>
      <c r="C34" s="459" t="s">
        <v>856</v>
      </c>
      <c r="D34" s="368"/>
      <c r="E34" s="344">
        <f>R21</f>
        <v>93.66</v>
      </c>
      <c r="F34" s="368"/>
      <c r="G34" s="558">
        <f>G21</f>
        <v>14.75</v>
      </c>
      <c r="H34" s="519" t="s">
        <v>235</v>
      </c>
      <c r="I34" s="530"/>
      <c r="J34" s="368"/>
      <c r="K34" s="368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</row>
    <row r="35" spans="1:25" ht="16" thickBot="1">
      <c r="A35" s="368"/>
      <c r="B35" s="368"/>
      <c r="C35" s="368"/>
      <c r="D35" s="368"/>
      <c r="E35" s="368"/>
      <c r="F35" s="368"/>
      <c r="G35" s="401"/>
      <c r="H35" s="368"/>
      <c r="I35" s="530"/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</row>
    <row r="36" spans="1:25" ht="16" thickBot="1">
      <c r="A36" s="368"/>
      <c r="B36" s="368"/>
      <c r="C36" s="368"/>
      <c r="D36" s="533" t="e">
        <f>'JR 2024-2025'!#REF!</f>
        <v>#REF!</v>
      </c>
      <c r="E36" s="505">
        <f>SUM(E30:E35)</f>
        <v>4042.49</v>
      </c>
      <c r="F36" s="368"/>
      <c r="G36" s="559">
        <f>SUM(G30:G35)</f>
        <v>1280.75</v>
      </c>
      <c r="H36" s="368"/>
      <c r="I36" s="530"/>
      <c r="J36" s="368"/>
      <c r="K36" s="368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</row>
    <row r="37" spans="1:25">
      <c r="A37" s="368"/>
      <c r="B37" s="368"/>
      <c r="C37" s="368"/>
      <c r="D37" s="401"/>
      <c r="E37" s="401"/>
      <c r="F37" s="368"/>
      <c r="G37" s="401"/>
      <c r="H37" s="368"/>
      <c r="I37" s="530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</row>
    <row r="38" spans="1:25">
      <c r="A38" s="368"/>
      <c r="B38" s="368"/>
      <c r="C38" s="368"/>
      <c r="D38" s="401"/>
      <c r="E38" s="401"/>
      <c r="F38" s="368"/>
      <c r="G38" s="401"/>
      <c r="H38" s="368"/>
      <c r="I38" s="530"/>
      <c r="J38" s="368"/>
      <c r="K38" s="368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</row>
    <row r="39" spans="1:25">
      <c r="A39" s="666" t="s">
        <v>257</v>
      </c>
      <c r="B39" s="666"/>
      <c r="C39" s="666"/>
      <c r="D39" s="666"/>
      <c r="E39" s="666"/>
      <c r="F39" s="666"/>
      <c r="G39" s="666"/>
      <c r="H39" s="666"/>
      <c r="I39" s="667"/>
      <c r="J39" s="366"/>
      <c r="K39" s="366"/>
      <c r="L39" s="366"/>
      <c r="M39" s="366"/>
      <c r="N39" s="366"/>
      <c r="O39" s="366"/>
      <c r="P39" s="366"/>
      <c r="Q39" s="366"/>
      <c r="R39" s="366"/>
      <c r="S39" s="366"/>
      <c r="T39" s="366"/>
      <c r="U39" s="366"/>
      <c r="V39" s="366"/>
      <c r="W39" s="366"/>
      <c r="X39" s="366"/>
      <c r="Y39" s="368"/>
    </row>
    <row r="40" spans="1:25" ht="45">
      <c r="A40" s="366"/>
      <c r="B40" s="366" t="s">
        <v>206</v>
      </c>
      <c r="C40" s="534">
        <f>L13+L18+L21</f>
        <v>326.00000000000006</v>
      </c>
      <c r="D40" s="404"/>
      <c r="E40" s="404"/>
      <c r="F40" s="366"/>
      <c r="G40" s="404"/>
      <c r="H40" s="404"/>
      <c r="I40" s="535"/>
      <c r="J40" s="404"/>
      <c r="K40" s="404"/>
      <c r="L40" s="366"/>
      <c r="M40" s="366"/>
      <c r="N40" s="366"/>
      <c r="O40" s="366"/>
      <c r="P40" s="366"/>
      <c r="Q40" s="366"/>
      <c r="R40" s="423"/>
      <c r="S40" s="423"/>
      <c r="T40" s="366"/>
      <c r="U40" s="366"/>
      <c r="V40" s="366"/>
      <c r="W40" s="366"/>
      <c r="X40" s="366"/>
      <c r="Y40" s="368"/>
    </row>
    <row r="41" spans="1:25" ht="16" thickBot="1">
      <c r="A41" s="668" t="s">
        <v>207</v>
      </c>
      <c r="B41" s="668"/>
      <c r="C41" s="465">
        <v>156</v>
      </c>
      <c r="D41" s="404"/>
      <c r="E41" s="404"/>
      <c r="F41" s="366"/>
      <c r="G41" s="404"/>
      <c r="H41" s="404"/>
      <c r="I41" s="535"/>
      <c r="J41" s="404"/>
      <c r="K41" s="404"/>
      <c r="L41" s="366"/>
      <c r="M41" s="366"/>
      <c r="N41" s="366"/>
      <c r="O41" s="366"/>
      <c r="P41" s="366"/>
      <c r="Q41" s="366"/>
      <c r="R41" s="423"/>
      <c r="S41" s="423"/>
      <c r="T41" s="366"/>
      <c r="U41" s="366"/>
      <c r="V41" s="366"/>
      <c r="W41" s="366"/>
      <c r="X41" s="366"/>
      <c r="Y41" s="368"/>
    </row>
    <row r="42" spans="1:25">
      <c r="A42" s="367"/>
      <c r="B42" s="367"/>
      <c r="C42" s="536">
        <f>C40/C41</f>
        <v>2.0897435897435903</v>
      </c>
      <c r="D42" s="447"/>
      <c r="E42" s="447" t="s">
        <v>256</v>
      </c>
      <c r="F42" s="367"/>
      <c r="G42" s="447"/>
      <c r="H42" s="447"/>
      <c r="I42" s="537"/>
      <c r="J42" s="447"/>
      <c r="K42" s="447"/>
      <c r="L42" s="367"/>
      <c r="M42" s="367"/>
      <c r="N42" s="367"/>
      <c r="O42" s="367"/>
      <c r="P42" s="367"/>
      <c r="Q42" s="367"/>
      <c r="R42" s="466"/>
      <c r="S42" s="466"/>
      <c r="T42" s="367"/>
      <c r="U42" s="367"/>
      <c r="V42" s="367"/>
      <c r="W42" s="367"/>
      <c r="X42" s="367"/>
      <c r="Y42" s="368"/>
    </row>
    <row r="43" spans="1:25">
      <c r="A43" s="368"/>
      <c r="B43" s="368"/>
      <c r="C43" s="368"/>
      <c r="D43" s="401"/>
      <c r="E43" s="401"/>
      <c r="F43" s="368"/>
      <c r="G43" s="401"/>
      <c r="H43" s="368"/>
      <c r="I43" s="530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</row>
    <row r="44" spans="1:25">
      <c r="A44" s="368"/>
      <c r="B44" s="368"/>
      <c r="C44" s="368"/>
      <c r="D44" s="401"/>
      <c r="E44" s="401"/>
      <c r="F44" s="368"/>
      <c r="G44" s="401"/>
      <c r="H44" s="368"/>
      <c r="I44" s="530"/>
      <c r="J44" s="368"/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</row>
    <row r="45" spans="1:25">
      <c r="A45" s="368"/>
      <c r="B45" s="368"/>
      <c r="C45" s="368"/>
      <c r="D45" s="401"/>
      <c r="E45" s="401"/>
      <c r="F45" s="368"/>
      <c r="G45" s="454">
        <f>E36/G36</f>
        <v>3.1563458910794453</v>
      </c>
      <c r="H45" s="368"/>
      <c r="I45" s="530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</row>
    <row r="46" spans="1:25">
      <c r="A46" s="368"/>
      <c r="B46" s="368"/>
      <c r="C46" s="368"/>
      <c r="D46" s="401"/>
      <c r="E46" s="401"/>
      <c r="F46" s="368"/>
      <c r="G46" s="401"/>
      <c r="H46" s="368"/>
      <c r="I46" s="530"/>
      <c r="J46" s="368"/>
      <c r="K46" s="368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</row>
    <row r="47" spans="1:25">
      <c r="A47" s="368"/>
      <c r="B47" s="368"/>
      <c r="C47" s="368"/>
      <c r="D47" s="401"/>
      <c r="E47" s="401"/>
      <c r="F47" s="368"/>
      <c r="G47" s="401"/>
      <c r="H47" s="368"/>
      <c r="I47" s="530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</row>
    <row r="48" spans="1:25">
      <c r="A48" s="368"/>
      <c r="B48" s="368"/>
      <c r="C48" s="368"/>
      <c r="D48" s="401"/>
      <c r="E48" s="401"/>
      <c r="F48" s="368"/>
      <c r="G48" s="401"/>
      <c r="H48" s="368"/>
      <c r="I48" s="530"/>
      <c r="J48" s="368"/>
      <c r="K48" s="368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</row>
    <row r="49" spans="1:25">
      <c r="A49" s="368"/>
      <c r="B49" s="368" t="s">
        <v>853</v>
      </c>
      <c r="C49" s="538">
        <f>AC25</f>
        <v>0</v>
      </c>
      <c r="D49" s="401"/>
      <c r="E49" s="401"/>
      <c r="F49" s="368"/>
      <c r="G49" s="401">
        <f>2.715888*1.07</f>
        <v>2.9060001600000001</v>
      </c>
      <c r="H49" s="368"/>
      <c r="I49" s="530"/>
      <c r="J49" s="368"/>
      <c r="K49" s="368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</row>
    <row r="50" spans="1:25">
      <c r="A50" s="368"/>
      <c r="B50" s="368"/>
      <c r="C50" s="368"/>
      <c r="D50" s="401"/>
      <c r="E50" s="401"/>
      <c r="F50" s="368"/>
      <c r="G50" s="401"/>
      <c r="H50" s="368"/>
      <c r="I50" s="530"/>
      <c r="J50" s="368"/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</row>
    <row r="51" spans="1:25">
      <c r="A51" s="368"/>
      <c r="B51" s="368"/>
      <c r="C51" s="368"/>
      <c r="D51" s="401"/>
      <c r="E51" s="401"/>
      <c r="F51" s="368"/>
      <c r="G51" s="401"/>
      <c r="H51" s="368"/>
      <c r="I51" s="530"/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</row>
    <row r="52" spans="1:25">
      <c r="A52" s="368"/>
      <c r="B52" s="368"/>
      <c r="C52" s="368"/>
      <c r="D52" s="401"/>
      <c r="E52" s="401"/>
      <c r="F52" s="368"/>
      <c r="G52" s="401"/>
      <c r="H52" s="368"/>
      <c r="I52" s="530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</row>
    <row r="53" spans="1:25">
      <c r="A53" s="368"/>
      <c r="B53" s="368"/>
      <c r="C53" s="368"/>
      <c r="D53" s="401"/>
      <c r="E53" s="401"/>
      <c r="F53" s="368"/>
      <c r="G53" s="401"/>
      <c r="H53" s="368"/>
      <c r="I53" s="530"/>
      <c r="J53" s="368"/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</row>
    <row r="54" spans="1:25">
      <c r="A54" s="368"/>
      <c r="B54" s="368"/>
      <c r="C54" s="368"/>
      <c r="D54" s="401"/>
      <c r="E54" s="401"/>
      <c r="F54" s="368"/>
      <c r="G54" s="401"/>
      <c r="H54" s="368"/>
      <c r="I54" s="530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</row>
    <row r="55" spans="1:25">
      <c r="A55" s="368"/>
      <c r="B55" s="368"/>
      <c r="C55" s="368"/>
      <c r="D55" s="401"/>
      <c r="E55" s="401"/>
      <c r="F55" s="368"/>
      <c r="G55" s="401"/>
      <c r="H55" s="368"/>
      <c r="I55" s="530"/>
      <c r="J55" s="368"/>
      <c r="K55" s="368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</row>
    <row r="56" spans="1:25" ht="16" thickBot="1">
      <c r="A56" s="540"/>
      <c r="B56" s="540"/>
      <c r="C56" s="540"/>
      <c r="D56" s="541"/>
      <c r="E56" s="541"/>
      <c r="F56" s="540"/>
      <c r="G56" s="541"/>
      <c r="H56" s="540"/>
      <c r="I56" s="542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</row>
  </sheetData>
  <mergeCells count="6">
    <mergeCell ref="A41:B41"/>
    <mergeCell ref="A1:Y1"/>
    <mergeCell ref="A5:A13"/>
    <mergeCell ref="A16:A18"/>
    <mergeCell ref="A23:A24"/>
    <mergeCell ref="A39:I39"/>
  </mergeCells>
  <pageMargins left="0.7" right="0.7" top="0.78740157499999996" bottom="0.78740157499999996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0"/>
  <sheetViews>
    <sheetView topLeftCell="S1" workbookViewId="0">
      <pane ySplit="4" topLeftCell="A30" activePane="bottomLeft" state="frozen"/>
      <selection pane="bottomLeft" sqref="A1:AA47"/>
    </sheetView>
  </sheetViews>
  <sheetFormatPr baseColWidth="10" defaultRowHeight="15"/>
  <cols>
    <col min="2" max="2" width="7.5" customWidth="1"/>
    <col min="5" max="5" width="8.83203125" style="91" customWidth="1"/>
    <col min="6" max="7" width="10.83203125" customWidth="1"/>
    <col min="8" max="8" width="12.1640625" style="91" bestFit="1" customWidth="1"/>
    <col min="9" max="9" width="10.5" style="91" customWidth="1"/>
    <col min="10" max="10" width="11.5" bestFit="1" customWidth="1"/>
    <col min="13" max="13" width="13" customWidth="1"/>
    <col min="14" max="15" width="12.1640625" bestFit="1" customWidth="1"/>
  </cols>
  <sheetData>
    <row r="1" spans="1:25" s="26" customFormat="1" ht="18">
      <c r="A1" s="42"/>
      <c r="B1" s="669" t="s">
        <v>274</v>
      </c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117"/>
      <c r="T1" s="117"/>
      <c r="U1" s="42"/>
      <c r="V1" s="42"/>
      <c r="W1" s="42"/>
    </row>
    <row r="2" spans="1:25">
      <c r="A2" s="47"/>
      <c r="B2" s="47"/>
      <c r="C2" s="47"/>
      <c r="D2" s="47"/>
      <c r="E2" s="72"/>
      <c r="F2" s="47"/>
      <c r="G2" s="47"/>
      <c r="H2" s="72"/>
      <c r="I2" s="72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8"/>
      <c r="Y2" s="48"/>
    </row>
    <row r="3" spans="1:25" s="26" customFormat="1" ht="84">
      <c r="A3" s="6"/>
      <c r="B3" s="7"/>
      <c r="C3" s="7"/>
      <c r="D3" s="7" t="s">
        <v>185</v>
      </c>
      <c r="E3" s="7" t="s">
        <v>186</v>
      </c>
      <c r="F3" s="7" t="s">
        <v>187</v>
      </c>
      <c r="G3" s="7" t="s">
        <v>188</v>
      </c>
      <c r="H3" s="7" t="s">
        <v>189</v>
      </c>
      <c r="I3" s="7" t="s">
        <v>190</v>
      </c>
      <c r="J3" s="101" t="s">
        <v>191</v>
      </c>
      <c r="K3" s="8"/>
      <c r="L3" s="7" t="s">
        <v>192</v>
      </c>
      <c r="M3" s="103" t="s">
        <v>193</v>
      </c>
      <c r="N3" s="7" t="s">
        <v>194</v>
      </c>
      <c r="O3" s="8" t="s">
        <v>195</v>
      </c>
      <c r="P3" s="7" t="s">
        <v>196</v>
      </c>
      <c r="Q3" s="57" t="s">
        <v>197</v>
      </c>
      <c r="R3" s="7" t="s">
        <v>198</v>
      </c>
      <c r="S3" s="7" t="s">
        <v>199</v>
      </c>
      <c r="T3" s="7" t="s">
        <v>200</v>
      </c>
      <c r="U3" s="6" t="s">
        <v>201</v>
      </c>
      <c r="V3" s="6"/>
      <c r="W3" s="6"/>
    </row>
    <row r="4" spans="1:25">
      <c r="A4" s="47"/>
      <c r="B4" s="47"/>
      <c r="C4" s="47"/>
      <c r="D4" s="47"/>
      <c r="E4" s="72"/>
      <c r="F4" s="47"/>
      <c r="G4" s="47"/>
      <c r="H4" s="72"/>
      <c r="I4" s="72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8"/>
      <c r="Y4" s="48"/>
    </row>
    <row r="5" spans="1:25" s="26" customFormat="1" ht="32">
      <c r="A5" s="42"/>
      <c r="B5" s="58" t="s">
        <v>154</v>
      </c>
      <c r="C5" s="62" t="s">
        <v>285</v>
      </c>
      <c r="D5" s="62" t="s">
        <v>284</v>
      </c>
      <c r="E5" s="43">
        <f>37+184</f>
        <v>221</v>
      </c>
      <c r="F5" s="62">
        <v>1</v>
      </c>
      <c r="G5" s="62">
        <v>495</v>
      </c>
      <c r="H5" s="43">
        <f>82+412</f>
        <v>494</v>
      </c>
      <c r="I5" s="43">
        <f>2.98+8.94+15.1+45.29</f>
        <v>72.31</v>
      </c>
      <c r="J5" s="102">
        <f>ROUND(1.07*I5,2)</f>
        <v>77.37</v>
      </c>
      <c r="K5" s="62"/>
      <c r="L5" s="62">
        <f>200.08+1023.82</f>
        <v>1223.9000000000001</v>
      </c>
      <c r="M5" s="104">
        <f t="shared" ref="M5:M6" si="0">ROUND(1.07*L5,2)</f>
        <v>1309.57</v>
      </c>
      <c r="N5" s="62">
        <f>J5+M5</f>
        <v>1386.94</v>
      </c>
      <c r="O5" s="62">
        <v>1386.94</v>
      </c>
      <c r="P5" s="112">
        <f>856+138.63</f>
        <v>994.63</v>
      </c>
      <c r="Q5" s="62"/>
      <c r="R5" s="62">
        <f>O5-P5</f>
        <v>392.31000000000006</v>
      </c>
      <c r="S5" s="62"/>
      <c r="T5" s="62"/>
      <c r="U5" s="42"/>
      <c r="V5" s="42"/>
      <c r="W5" s="42"/>
    </row>
    <row r="6" spans="1:25" s="48" customFormat="1" ht="33" thickBot="1">
      <c r="A6" s="47"/>
      <c r="B6" s="120" t="s">
        <v>154</v>
      </c>
      <c r="C6" s="9" t="s">
        <v>286</v>
      </c>
      <c r="D6" s="62" t="s">
        <v>287</v>
      </c>
      <c r="E6" s="43">
        <v>62</v>
      </c>
      <c r="F6" s="43">
        <v>495</v>
      </c>
      <c r="G6" s="43">
        <v>634</v>
      </c>
      <c r="H6" s="43">
        <f>G6-F6</f>
        <v>139</v>
      </c>
      <c r="I6" s="43">
        <f>5.09+15.26</f>
        <v>20.350000000000001</v>
      </c>
      <c r="J6" s="102">
        <f>ROUND(1.07*I6,2)</f>
        <v>21.77</v>
      </c>
      <c r="K6" s="121"/>
      <c r="L6" s="45">
        <v>345.42</v>
      </c>
      <c r="M6" s="104">
        <f t="shared" si="0"/>
        <v>369.6</v>
      </c>
      <c r="N6" s="106">
        <f>J6+M6</f>
        <v>391.37</v>
      </c>
      <c r="O6" s="62">
        <v>391.37</v>
      </c>
      <c r="P6" s="163">
        <v>247</v>
      </c>
      <c r="Q6" s="113"/>
      <c r="R6" s="162">
        <f>O6-P6</f>
        <v>144.37</v>
      </c>
      <c r="S6" s="113"/>
      <c r="T6" s="113"/>
      <c r="U6" s="47"/>
      <c r="V6" s="47"/>
      <c r="W6" s="47"/>
    </row>
    <row r="7" spans="1:25" s="48" customFormat="1" ht="33" customHeight="1" thickTop="1" thickBot="1">
      <c r="A7" s="47"/>
      <c r="B7" s="122"/>
      <c r="C7" s="164" t="s">
        <v>288</v>
      </c>
      <c r="D7" s="82"/>
      <c r="E7" s="116">
        <v>61</v>
      </c>
      <c r="F7" s="83">
        <v>634</v>
      </c>
      <c r="G7" s="84">
        <v>813.83699999999999</v>
      </c>
      <c r="H7" s="43">
        <f>G7-F7</f>
        <v>179.83699999999999</v>
      </c>
      <c r="I7" s="138">
        <f>((29.948/365)*E7)+((89.85/365)*E7)</f>
        <v>20.021035616438354</v>
      </c>
      <c r="J7" s="102">
        <f>ROUND(1.07*I7,2)</f>
        <v>21.42</v>
      </c>
      <c r="K7" s="82"/>
      <c r="L7" s="63">
        <f>H7*2.485</f>
        <v>446.89494499999995</v>
      </c>
      <c r="M7" s="63">
        <f>ROUND(1.07*L7,2)</f>
        <v>478.18</v>
      </c>
      <c r="N7" s="106">
        <f>J7+M7</f>
        <v>499.6</v>
      </c>
      <c r="O7" s="105">
        <v>499.6</v>
      </c>
      <c r="P7" s="82"/>
      <c r="Q7" s="82"/>
      <c r="R7" s="82"/>
      <c r="S7" s="82"/>
      <c r="T7" s="82"/>
      <c r="U7" s="47"/>
      <c r="V7" s="47"/>
      <c r="W7" s="47"/>
    </row>
    <row r="8" spans="1:25" s="26" customFormat="1" ht="16" thickBot="1">
      <c r="A8" s="6"/>
      <c r="B8" s="11" t="s">
        <v>154</v>
      </c>
      <c r="C8" s="12" t="s">
        <v>203</v>
      </c>
      <c r="D8" s="13"/>
      <c r="E8" s="115">
        <f>SUM(E5:E7)</f>
        <v>344</v>
      </c>
      <c r="F8" s="14"/>
      <c r="G8" s="15"/>
      <c r="H8" s="114">
        <f>SUM(H5:H7)</f>
        <v>812.83699999999999</v>
      </c>
      <c r="I8" s="107"/>
      <c r="J8" s="65">
        <f>SUM(J5:J7)</f>
        <v>120.56</v>
      </c>
      <c r="K8" s="65"/>
      <c r="L8" s="4"/>
      <c r="M8" s="67">
        <f>SUM(M5:M7)</f>
        <v>2157.35</v>
      </c>
      <c r="N8" s="78">
        <f>SUM(N5:N7)</f>
        <v>2277.91</v>
      </c>
      <c r="O8" s="97">
        <f>SUM(O5:O7)</f>
        <v>2277.91</v>
      </c>
      <c r="P8" s="4"/>
      <c r="Q8" s="16"/>
      <c r="R8" s="16"/>
      <c r="S8" s="16"/>
      <c r="T8" s="16"/>
      <c r="U8" s="166">
        <f>M8/H8</f>
        <v>2.6540991613324687</v>
      </c>
      <c r="V8" s="17">
        <v>2.44</v>
      </c>
      <c r="W8" s="6" t="s">
        <v>252</v>
      </c>
      <c r="X8" s="68">
        <v>2.6</v>
      </c>
    </row>
    <row r="9" spans="1:25" ht="16">
      <c r="A9" s="47"/>
      <c r="B9" s="47"/>
      <c r="C9" s="47"/>
      <c r="D9" s="47"/>
      <c r="E9" s="72"/>
      <c r="F9" s="47"/>
      <c r="G9" s="47"/>
      <c r="H9" s="72"/>
      <c r="I9" s="72"/>
      <c r="J9" s="47"/>
      <c r="K9" s="47"/>
      <c r="L9" s="47"/>
      <c r="M9" s="71"/>
      <c r="O9" s="47"/>
      <c r="P9" s="47"/>
      <c r="Q9" s="47"/>
      <c r="R9" s="47"/>
      <c r="S9" s="47"/>
      <c r="T9" s="47"/>
      <c r="U9" s="47"/>
      <c r="V9" s="147">
        <v>2.4849999999999999</v>
      </c>
      <c r="W9" s="118" t="s">
        <v>281</v>
      </c>
      <c r="X9" s="48"/>
    </row>
    <row r="10" spans="1:25">
      <c r="A10" s="47"/>
      <c r="B10" s="47"/>
      <c r="C10" s="47"/>
      <c r="D10" s="47"/>
      <c r="E10" s="72"/>
      <c r="F10" s="47"/>
      <c r="G10" s="47"/>
      <c r="H10" s="119"/>
      <c r="I10" s="72"/>
      <c r="J10" s="47"/>
      <c r="K10" s="47"/>
      <c r="L10" s="47"/>
      <c r="M10" s="71"/>
      <c r="O10" s="47"/>
      <c r="P10" s="47"/>
      <c r="Q10" s="47"/>
      <c r="R10" s="47"/>
      <c r="S10" s="47"/>
      <c r="T10" s="47"/>
      <c r="U10" s="47"/>
      <c r="V10" s="47"/>
      <c r="W10" s="47"/>
      <c r="X10" s="48"/>
    </row>
    <row r="11" spans="1:25">
      <c r="A11" s="48"/>
      <c r="B11" s="48"/>
      <c r="C11" s="48"/>
      <c r="D11" s="48"/>
      <c r="E11" s="85"/>
      <c r="F11" s="48"/>
      <c r="G11" s="48"/>
      <c r="H11" s="85"/>
      <c r="I11" s="85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V11" s="48"/>
      <c r="W11" s="48"/>
      <c r="X11" s="48"/>
    </row>
    <row r="12" spans="1:25" ht="16" thickBot="1">
      <c r="A12" s="49"/>
      <c r="B12" s="49"/>
      <c r="C12" s="49"/>
      <c r="D12" s="50"/>
      <c r="E12" s="49"/>
      <c r="F12" s="51"/>
      <c r="G12" s="51"/>
      <c r="H12" s="51"/>
      <c r="I12" s="53"/>
      <c r="J12" s="52"/>
      <c r="K12" s="52"/>
      <c r="L12" s="52"/>
      <c r="M12" s="52"/>
      <c r="N12" s="52"/>
      <c r="O12" s="52"/>
      <c r="P12" s="52"/>
      <c r="Q12" s="53"/>
      <c r="R12" s="53"/>
      <c r="S12" s="53"/>
      <c r="T12" s="53"/>
      <c r="U12" s="72"/>
      <c r="V12" s="49"/>
      <c r="W12" s="49"/>
      <c r="X12" s="48"/>
    </row>
    <row r="13" spans="1:25" ht="28">
      <c r="A13" s="59"/>
      <c r="B13" s="43" t="s">
        <v>153</v>
      </c>
      <c r="C13" s="679" t="s">
        <v>277</v>
      </c>
      <c r="D13" s="10" t="s">
        <v>278</v>
      </c>
      <c r="E13" s="43">
        <f>50+157</f>
        <v>207</v>
      </c>
      <c r="F13" s="95">
        <v>1848</v>
      </c>
      <c r="G13" s="44">
        <v>2025</v>
      </c>
      <c r="H13" s="44">
        <f>42+135</f>
        <v>177</v>
      </c>
      <c r="I13" s="46">
        <f>4.03+12.09+12.89+38.65</f>
        <v>67.66</v>
      </c>
      <c r="J13" s="45">
        <f>ROUND(1.07*I13,2)</f>
        <v>72.400000000000006</v>
      </c>
      <c r="K13" s="45"/>
      <c r="L13" s="45">
        <f>102.48+335.48</f>
        <v>437.96000000000004</v>
      </c>
      <c r="M13" s="99">
        <f>ROUND(1.07*L13,2)</f>
        <v>468.62</v>
      </c>
      <c r="N13" s="38">
        <f>J13+M13</f>
        <v>541.02</v>
      </c>
      <c r="O13" s="106">
        <f>N13+N14</f>
        <v>1415.1599999999999</v>
      </c>
      <c r="P13" s="27">
        <v>920</v>
      </c>
      <c r="Q13" s="61"/>
      <c r="R13" s="61">
        <f>O13-P13</f>
        <v>495.15999999999985</v>
      </c>
      <c r="S13" s="46"/>
      <c r="T13" s="61"/>
      <c r="U13" s="72">
        <f>M13/H13</f>
        <v>2.6475706214689265</v>
      </c>
      <c r="V13" s="72"/>
      <c r="W13" s="72"/>
      <c r="X13" s="48"/>
    </row>
    <row r="14" spans="1:25" ht="29" thickBot="1">
      <c r="A14" s="132"/>
      <c r="B14" s="133"/>
      <c r="C14" s="680"/>
      <c r="D14" s="135" t="s">
        <v>279</v>
      </c>
      <c r="E14" s="136">
        <v>89</v>
      </c>
      <c r="F14" s="95">
        <v>1</v>
      </c>
      <c r="G14" s="95">
        <v>318</v>
      </c>
      <c r="H14" s="95">
        <f>293+24</f>
        <v>317</v>
      </c>
      <c r="I14" s="98">
        <f>7.3+21.91</f>
        <v>29.21</v>
      </c>
      <c r="J14" s="45">
        <f>ROUND(1.07*I14,2)</f>
        <v>31.25</v>
      </c>
      <c r="K14" s="96"/>
      <c r="L14" s="139">
        <v>787.75</v>
      </c>
      <c r="M14" s="99">
        <f>ROUND(1.07*L14,2)</f>
        <v>842.89</v>
      </c>
      <c r="N14" s="38">
        <f>J14+M14</f>
        <v>874.14</v>
      </c>
      <c r="O14" s="141"/>
      <c r="P14" s="30"/>
      <c r="Q14" s="143"/>
      <c r="R14" s="31"/>
      <c r="S14" s="98"/>
      <c r="T14" s="31"/>
      <c r="U14" s="72"/>
      <c r="V14" s="72"/>
      <c r="W14" s="72"/>
      <c r="X14" s="48"/>
    </row>
    <row r="15" spans="1:25" ht="44" thickTop="1" thickBot="1">
      <c r="A15" s="60"/>
      <c r="B15" s="81" t="s">
        <v>153</v>
      </c>
      <c r="C15" s="134" t="s">
        <v>282</v>
      </c>
      <c r="D15" s="165" t="s">
        <v>289</v>
      </c>
      <c r="E15" s="146">
        <v>67</v>
      </c>
      <c r="F15" s="137">
        <v>318</v>
      </c>
      <c r="G15" s="137">
        <v>474.88799999999998</v>
      </c>
      <c r="H15" s="137">
        <f>G15-F15</f>
        <v>156.88799999999998</v>
      </c>
      <c r="I15" s="138">
        <f>((29.948/365)*E15)+((89.85/365)*E15)</f>
        <v>21.990317808219178</v>
      </c>
      <c r="J15" s="63">
        <f>ROUND(1.07*I15,2)</f>
        <v>23.53</v>
      </c>
      <c r="K15" s="140"/>
      <c r="L15" s="123">
        <f>H15*2.485</f>
        <v>389.86667999999992</v>
      </c>
      <c r="M15" s="123">
        <f>ROUND(1.07*L15,2)</f>
        <v>417.16</v>
      </c>
      <c r="N15" s="123">
        <f>J15+M15</f>
        <v>440.69000000000005</v>
      </c>
      <c r="O15" s="123">
        <f>N15</f>
        <v>440.69000000000005</v>
      </c>
      <c r="P15" s="142"/>
      <c r="Q15" s="64"/>
      <c r="R15" s="144">
        <f>O15-P15</f>
        <v>440.69000000000005</v>
      </c>
      <c r="S15" s="144"/>
      <c r="T15" s="145">
        <f>O15+S15-P15</f>
        <v>440.69000000000005</v>
      </c>
      <c r="U15" s="72">
        <f>M15/H15</f>
        <v>2.6589669063280819</v>
      </c>
      <c r="V15" s="72"/>
      <c r="W15" s="72"/>
      <c r="X15" s="48"/>
    </row>
    <row r="16" spans="1:25" s="155" customFormat="1" ht="29" thickBot="1">
      <c r="A16" s="148"/>
      <c r="B16" s="149" t="s">
        <v>153</v>
      </c>
      <c r="C16" s="150" t="s">
        <v>202</v>
      </c>
      <c r="D16" s="151" t="s">
        <v>280</v>
      </c>
      <c r="E16" s="152">
        <v>67</v>
      </c>
      <c r="F16" s="153"/>
      <c r="G16" s="153"/>
      <c r="H16" s="153"/>
      <c r="I16" s="154"/>
      <c r="K16" s="156"/>
      <c r="L16" s="157"/>
      <c r="M16" s="158"/>
      <c r="N16" s="157"/>
      <c r="O16" s="159"/>
      <c r="P16" s="157"/>
      <c r="Q16" s="160"/>
      <c r="R16" s="154"/>
      <c r="S16" s="154"/>
      <c r="T16" s="161"/>
      <c r="U16" s="148"/>
      <c r="V16" s="148"/>
      <c r="W16" s="148"/>
    </row>
    <row r="17" spans="1:25" s="26" customFormat="1" ht="16" thickBot="1">
      <c r="A17" s="118"/>
      <c r="B17" s="22" t="s">
        <v>153</v>
      </c>
      <c r="C17" s="12" t="s">
        <v>203</v>
      </c>
      <c r="D17" s="13"/>
      <c r="E17" s="12">
        <f>SUM(E13:E15)</f>
        <v>363</v>
      </c>
      <c r="F17" s="14"/>
      <c r="G17" s="15"/>
      <c r="H17" s="109">
        <f>SUM(H13:H15)</f>
        <v>650.88799999999992</v>
      </c>
      <c r="I17" s="107"/>
      <c r="J17" s="65">
        <f>SUM(J13:J15)</f>
        <v>127.18</v>
      </c>
      <c r="K17" s="65"/>
      <c r="L17" s="4"/>
      <c r="M17" s="41">
        <f>SUM(M13:M16)</f>
        <v>1728.67</v>
      </c>
      <c r="N17" s="78"/>
      <c r="O17" s="40">
        <f>SUM(O13:O15)</f>
        <v>1855.85</v>
      </c>
      <c r="P17" s="4"/>
      <c r="Q17" s="16"/>
      <c r="R17" s="16"/>
      <c r="S17" s="16"/>
      <c r="T17" s="16"/>
      <c r="U17" s="6">
        <f>M17/H17</f>
        <v>2.6558639888890259</v>
      </c>
      <c r="V17" s="118"/>
      <c r="W17" s="118"/>
    </row>
    <row r="18" spans="1:25" s="26" customFormat="1">
      <c r="A18" s="118"/>
      <c r="B18" s="47"/>
      <c r="C18" s="6"/>
      <c r="D18" s="18"/>
      <c r="E18" s="6"/>
      <c r="F18" s="19"/>
      <c r="G18" s="19"/>
      <c r="H18" s="19"/>
      <c r="I18" s="21"/>
      <c r="J18" s="47"/>
      <c r="K18" s="47"/>
      <c r="L18" s="47"/>
      <c r="M18" s="47"/>
      <c r="N18" s="47"/>
      <c r="O18" s="47"/>
      <c r="P18" s="47"/>
      <c r="Q18" s="21"/>
      <c r="R18" s="21"/>
      <c r="S18" s="21"/>
      <c r="T18" s="21" t="s">
        <v>283</v>
      </c>
      <c r="U18" s="6">
        <v>2.66</v>
      </c>
      <c r="V18" s="118"/>
      <c r="W18" s="118"/>
    </row>
    <row r="19" spans="1:25">
      <c r="A19" s="72"/>
      <c r="B19" s="47"/>
      <c r="C19" s="47"/>
      <c r="D19" s="47"/>
      <c r="E19" s="72"/>
      <c r="F19" s="47"/>
      <c r="G19" s="47"/>
      <c r="H19" s="72"/>
      <c r="I19" s="72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72"/>
      <c r="W19" s="72"/>
      <c r="X19" s="48"/>
      <c r="Y19" s="48"/>
    </row>
    <row r="20" spans="1:25" s="26" customFormat="1" ht="29" thickBot="1">
      <c r="A20" s="6"/>
      <c r="B20" s="43" t="s">
        <v>204</v>
      </c>
      <c r="C20" s="9" t="s">
        <v>276</v>
      </c>
      <c r="D20" s="10" t="s">
        <v>275</v>
      </c>
      <c r="E20" s="43">
        <v>361</v>
      </c>
      <c r="F20" s="44">
        <v>12</v>
      </c>
      <c r="G20" s="44">
        <v>15</v>
      </c>
      <c r="H20" s="44">
        <f t="shared" ref="H20" si="1">G20-F20</f>
        <v>3</v>
      </c>
      <c r="I20" s="46">
        <f>6.89+37.41</f>
        <v>44.3</v>
      </c>
      <c r="J20" s="93">
        <f>ROUND(1.07*I20,2)</f>
        <v>47.4</v>
      </c>
      <c r="K20" s="93"/>
      <c r="L20" s="45">
        <v>7.46</v>
      </c>
      <c r="M20" s="45">
        <f>ROUND(1.07*L20,2)</f>
        <v>7.98</v>
      </c>
      <c r="N20" s="124">
        <f>(I20+L20)*1.07</f>
        <v>55.383200000000002</v>
      </c>
      <c r="O20" s="24">
        <v>55.38</v>
      </c>
      <c r="P20" s="45">
        <v>64</v>
      </c>
      <c r="Q20" s="125">
        <f>O20-P20</f>
        <v>-8.6199999999999974</v>
      </c>
      <c r="R20" s="46"/>
      <c r="S20" s="46"/>
      <c r="T20" s="46"/>
      <c r="U20" s="118"/>
      <c r="V20" s="23">
        <v>2.44</v>
      </c>
      <c r="W20" s="6" t="s">
        <v>252</v>
      </c>
    </row>
    <row r="21" spans="1:25" s="26" customFormat="1" ht="17" thickBot="1">
      <c r="A21" s="118"/>
      <c r="B21" s="25" t="s">
        <v>204</v>
      </c>
      <c r="C21" s="12" t="s">
        <v>203</v>
      </c>
      <c r="D21" s="13"/>
      <c r="E21" s="12">
        <f>SUM(E20:E20)</f>
        <v>361</v>
      </c>
      <c r="F21" s="14"/>
      <c r="G21" s="15"/>
      <c r="H21" s="108">
        <f>SUM(H20)</f>
        <v>3</v>
      </c>
      <c r="I21" s="107"/>
      <c r="J21" s="65">
        <f>SUM(J20)</f>
        <v>47.4</v>
      </c>
      <c r="K21" s="65"/>
      <c r="L21" s="4"/>
      <c r="M21" s="100">
        <f>SUM(M20)</f>
        <v>7.98</v>
      </c>
      <c r="N21" s="78"/>
      <c r="O21" s="40">
        <f>SUM(O20)</f>
        <v>55.38</v>
      </c>
      <c r="P21" s="4"/>
      <c r="Q21" s="16"/>
      <c r="R21" s="16"/>
      <c r="S21" s="16"/>
      <c r="T21" s="16"/>
      <c r="U21" s="6">
        <f>M21/H21</f>
        <v>2.66</v>
      </c>
      <c r="V21" s="147">
        <v>2.4849999999999999</v>
      </c>
      <c r="W21" s="118" t="s">
        <v>281</v>
      </c>
    </row>
    <row r="22" spans="1:25" s="131" customFormat="1" ht="58" thickBot="1">
      <c r="A22" s="126"/>
      <c r="B22" s="127"/>
      <c r="C22" s="128" t="s">
        <v>205</v>
      </c>
      <c r="D22" s="127"/>
      <c r="E22" s="126"/>
      <c r="F22" s="127"/>
      <c r="G22" s="127"/>
      <c r="H22" s="129">
        <f>H8+H17+H21</f>
        <v>1466.7249999999999</v>
      </c>
      <c r="I22" s="126"/>
      <c r="J22" s="129">
        <f>J21+J17+J8</f>
        <v>295.14</v>
      </c>
      <c r="K22" s="129"/>
      <c r="L22" s="129"/>
      <c r="M22" s="129">
        <f>M21+M17+M8</f>
        <v>3894</v>
      </c>
      <c r="N22" s="129"/>
      <c r="O22" s="129">
        <f>O21+O17+O8</f>
        <v>4189.1399999999994</v>
      </c>
      <c r="P22" s="127"/>
      <c r="Q22" s="127"/>
      <c r="R22" s="127"/>
      <c r="S22" s="127"/>
      <c r="T22" s="127"/>
      <c r="U22" s="127"/>
      <c r="V22" s="127"/>
      <c r="W22" s="127"/>
      <c r="X22" s="130"/>
      <c r="Y22" s="130"/>
    </row>
    <row r="23" spans="1:25">
      <c r="A23" s="49"/>
      <c r="B23" s="47"/>
      <c r="C23" s="54"/>
      <c r="D23" s="47"/>
      <c r="E23" s="72"/>
      <c r="F23" s="47"/>
      <c r="G23" s="47"/>
      <c r="H23" s="72"/>
      <c r="I23" s="72"/>
      <c r="J23" s="47"/>
      <c r="K23" s="47"/>
      <c r="L23" s="47"/>
      <c r="M23" s="47">
        <v>1867.4739104000005</v>
      </c>
      <c r="N23" s="47"/>
      <c r="O23" s="55"/>
      <c r="P23" s="47"/>
      <c r="Q23" s="47"/>
      <c r="R23" s="47"/>
      <c r="S23" s="47"/>
      <c r="T23" s="47"/>
      <c r="U23" s="47"/>
      <c r="V23" s="42"/>
      <c r="W23" s="42"/>
      <c r="X23" s="48"/>
      <c r="Y23" s="48"/>
    </row>
    <row r="24" spans="1:25">
      <c r="A24" s="47"/>
      <c r="B24" s="47"/>
      <c r="C24" s="47"/>
      <c r="D24" s="47"/>
      <c r="E24" s="72"/>
      <c r="F24" s="47"/>
      <c r="G24" s="47"/>
      <c r="H24" s="72"/>
      <c r="I24" s="72"/>
      <c r="J24" s="56"/>
      <c r="K24" s="56"/>
      <c r="L24" s="47"/>
      <c r="M24" s="47">
        <v>106.19999999999975</v>
      </c>
      <c r="N24" s="47"/>
      <c r="O24" s="47"/>
      <c r="P24" s="47"/>
      <c r="Q24" s="47"/>
      <c r="R24" s="47"/>
      <c r="S24" s="47"/>
      <c r="T24" s="47"/>
      <c r="U24" s="47"/>
      <c r="V24" s="42"/>
      <c r="W24" s="42"/>
      <c r="X24" s="48"/>
      <c r="Y24" s="48"/>
    </row>
    <row r="25" spans="1:25">
      <c r="A25" s="47"/>
      <c r="B25" s="47"/>
      <c r="C25" s="47"/>
      <c r="D25" s="47"/>
      <c r="E25" s="72"/>
      <c r="F25" s="47"/>
      <c r="G25" s="47"/>
      <c r="H25" s="72"/>
      <c r="I25" s="72"/>
      <c r="J25" s="47"/>
      <c r="K25" s="47"/>
      <c r="L25" s="47">
        <f>2.44*1.07</f>
        <v>2.6108000000000002</v>
      </c>
      <c r="M25" s="69">
        <f>SUM(M23:M24)</f>
        <v>1973.6739104000003</v>
      </c>
      <c r="N25" s="47"/>
      <c r="O25" s="70">
        <v>2235.8639103999999</v>
      </c>
      <c r="P25" s="47"/>
      <c r="Q25" s="47"/>
      <c r="R25" s="47"/>
      <c r="S25" s="47"/>
      <c r="T25" s="47"/>
      <c r="U25" s="47"/>
      <c r="V25" s="47"/>
      <c r="W25" s="47"/>
      <c r="X25" s="48"/>
      <c r="Y25" s="48"/>
    </row>
    <row r="26" spans="1:25">
      <c r="A26" s="47"/>
      <c r="B26" s="47"/>
      <c r="C26" s="47"/>
      <c r="D26" s="47"/>
      <c r="E26" s="72"/>
      <c r="F26" s="47"/>
      <c r="G26" s="47"/>
      <c r="H26" s="72"/>
      <c r="I26" s="72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8"/>
      <c r="Y26" s="48"/>
    </row>
    <row r="27" spans="1:25" s="26" customFormat="1">
      <c r="A27" s="42"/>
      <c r="B27" s="676" t="s">
        <v>257</v>
      </c>
      <c r="C27" s="676"/>
      <c r="D27" s="676"/>
      <c r="E27" s="676"/>
      <c r="F27" s="676"/>
      <c r="G27" s="676"/>
      <c r="H27" s="676"/>
      <c r="I27" s="676"/>
      <c r="J27" s="676"/>
      <c r="K27" s="676"/>
      <c r="L27" s="676"/>
      <c r="M27" s="676"/>
      <c r="N27" s="676"/>
      <c r="O27" s="676"/>
      <c r="P27" s="676"/>
      <c r="Q27" s="676"/>
      <c r="R27" s="42"/>
      <c r="S27" s="42"/>
      <c r="T27" s="42"/>
      <c r="U27" s="42"/>
      <c r="V27" s="42"/>
      <c r="W27" s="42"/>
    </row>
    <row r="28" spans="1:25" s="26" customFormat="1" ht="15" customHeight="1">
      <c r="A28" s="42"/>
      <c r="B28" s="42"/>
      <c r="C28" s="42" t="s">
        <v>206</v>
      </c>
      <c r="D28" s="73">
        <f>J22</f>
        <v>295.14</v>
      </c>
      <c r="E28" s="118"/>
      <c r="F28" s="42"/>
      <c r="G28" s="42"/>
      <c r="H28" s="118"/>
      <c r="I28" s="118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</row>
    <row r="29" spans="1:25" s="26" customFormat="1" ht="15" customHeight="1" thickBot="1">
      <c r="A29" s="42"/>
      <c r="B29" s="677" t="s">
        <v>207</v>
      </c>
      <c r="C29" s="677"/>
      <c r="D29" s="92">
        <v>156</v>
      </c>
      <c r="E29" s="118"/>
      <c r="F29" s="42"/>
      <c r="G29" s="42"/>
      <c r="H29" s="118"/>
      <c r="I29" s="118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</row>
    <row r="30" spans="1:25" s="26" customFormat="1">
      <c r="A30" s="42"/>
      <c r="D30" s="94">
        <f>D28/D29</f>
        <v>1.8919230769230768</v>
      </c>
      <c r="E30" s="86"/>
      <c r="F30" s="26" t="s">
        <v>256</v>
      </c>
      <c r="H30" s="86"/>
      <c r="I30" s="86"/>
      <c r="V30" s="42"/>
      <c r="W30" s="42"/>
    </row>
    <row r="31" spans="1:25">
      <c r="A31" s="47"/>
      <c r="B31" s="48"/>
      <c r="C31" s="48"/>
      <c r="D31" s="48"/>
      <c r="E31" s="85"/>
      <c r="F31" s="48"/>
      <c r="G31" s="48"/>
      <c r="H31" s="85"/>
      <c r="I31" s="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7"/>
      <c r="W31" s="47"/>
      <c r="X31" s="48"/>
      <c r="Y31" s="48"/>
    </row>
    <row r="32" spans="1:25" s="75" customFormat="1">
      <c r="A32" s="74"/>
      <c r="B32" s="75" t="s">
        <v>253</v>
      </c>
      <c r="E32" s="87"/>
      <c r="H32" s="87"/>
      <c r="I32" s="87"/>
      <c r="V32" s="74"/>
      <c r="W32" s="74"/>
    </row>
    <row r="33" spans="1:25">
      <c r="A33" s="47"/>
      <c r="B33" s="48"/>
      <c r="C33" s="48"/>
      <c r="D33" s="48"/>
      <c r="E33" s="85"/>
      <c r="F33" s="48"/>
      <c r="G33" s="48"/>
      <c r="H33" s="85"/>
      <c r="I33" s="85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7"/>
      <c r="W33" s="47"/>
      <c r="X33" s="48"/>
      <c r="Y33" s="48"/>
    </row>
    <row r="34" spans="1:25" s="26" customFormat="1">
      <c r="A34" s="39"/>
      <c r="B34" s="39" t="s">
        <v>22</v>
      </c>
      <c r="C34" s="39" t="s">
        <v>23</v>
      </c>
      <c r="D34" s="39" t="s">
        <v>24</v>
      </c>
      <c r="E34" s="88" t="s">
        <v>25</v>
      </c>
      <c r="H34" s="86"/>
      <c r="I34" s="86"/>
    </row>
    <row r="35" spans="1:25" s="26" customFormat="1" ht="65" thickBot="1">
      <c r="A35" s="76" t="s">
        <v>254</v>
      </c>
      <c r="B35" s="39">
        <v>298.61999999999881</v>
      </c>
      <c r="C35" s="111">
        <v>117.78000000000006</v>
      </c>
      <c r="D35" s="111">
        <v>1856.4171724000005</v>
      </c>
      <c r="E35" s="88">
        <v>2272.8171724000017</v>
      </c>
      <c r="H35" s="86"/>
      <c r="I35" s="86"/>
    </row>
    <row r="36" spans="1:25" ht="65" thickBot="1">
      <c r="A36" s="77" t="s">
        <v>255</v>
      </c>
      <c r="B36" s="66">
        <f>J22</f>
        <v>295.14</v>
      </c>
      <c r="D36" s="79">
        <f>M22</f>
        <v>3894</v>
      </c>
      <c r="E36" s="89">
        <f>B36+D36</f>
        <v>4189.1400000000003</v>
      </c>
      <c r="F36" s="110" t="s">
        <v>258</v>
      </c>
    </row>
    <row r="37" spans="1:25" ht="30.75" customHeight="1">
      <c r="C37" s="5">
        <f>D35+C35</f>
        <v>1974.1971724000005</v>
      </c>
      <c r="E37" s="90">
        <f>E35-E36</f>
        <v>-1916.3228275999986</v>
      </c>
      <c r="F37" s="678" t="s">
        <v>259</v>
      </c>
      <c r="G37" s="678"/>
      <c r="H37" s="678"/>
      <c r="I37" s="678"/>
      <c r="J37" s="678"/>
      <c r="K37" s="678"/>
      <c r="L37" s="678"/>
      <c r="M37" s="678"/>
      <c r="N37" s="678"/>
      <c r="O37" s="678"/>
      <c r="P37" s="678"/>
      <c r="Q37" s="678"/>
      <c r="R37" s="678"/>
      <c r="S37" s="678"/>
      <c r="T37" s="678"/>
    </row>
    <row r="38" spans="1:25">
      <c r="F38" t="s">
        <v>260</v>
      </c>
    </row>
    <row r="40" spans="1:25">
      <c r="D40">
        <f>0.24*80</f>
        <v>19.2</v>
      </c>
    </row>
  </sheetData>
  <mergeCells count="5">
    <mergeCell ref="B1:R1"/>
    <mergeCell ref="B27:Q27"/>
    <mergeCell ref="B29:C29"/>
    <mergeCell ref="F37:T37"/>
    <mergeCell ref="C13:C14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4"/>
  <sheetViews>
    <sheetView workbookViewId="0">
      <selection sqref="A1:Z33"/>
    </sheetView>
  </sheetViews>
  <sheetFormatPr baseColWidth="10" defaultRowHeight="15"/>
  <cols>
    <col min="2" max="2" width="10.1640625" customWidth="1"/>
    <col min="3" max="3" width="12.6640625" customWidth="1"/>
    <col min="8" max="8" width="14.6640625" bestFit="1" customWidth="1"/>
    <col min="10" max="10" width="11.83203125" bestFit="1" customWidth="1"/>
    <col min="13" max="13" width="14.6640625" bestFit="1" customWidth="1"/>
    <col min="14" max="14" width="11.83203125" style="33" bestFit="1" customWidth="1"/>
    <col min="15" max="15" width="14.6640625" bestFit="1" customWidth="1"/>
  </cols>
  <sheetData>
    <row r="1" spans="1:27" ht="18">
      <c r="A1" s="42"/>
      <c r="B1" s="669" t="s">
        <v>301</v>
      </c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117"/>
      <c r="T1" s="117"/>
      <c r="U1" s="42"/>
      <c r="V1" s="42"/>
      <c r="W1" s="42"/>
      <c r="X1" s="26"/>
      <c r="Y1" s="26"/>
      <c r="Z1" s="26"/>
      <c r="AA1" s="26"/>
    </row>
    <row r="2" spans="1:27">
      <c r="A2" s="47"/>
      <c r="B2" s="47"/>
      <c r="C2" s="47"/>
      <c r="D2" s="47"/>
      <c r="E2" s="72"/>
      <c r="F2" s="47"/>
      <c r="G2" s="47"/>
      <c r="H2" s="72"/>
      <c r="I2" s="72"/>
      <c r="J2" s="47"/>
      <c r="K2" s="47"/>
      <c r="L2" s="47"/>
      <c r="M2" s="47"/>
      <c r="N2" s="171"/>
      <c r="O2" s="47"/>
      <c r="P2" s="47"/>
      <c r="Q2" s="47"/>
      <c r="R2" s="47"/>
      <c r="S2" s="47"/>
      <c r="T2" s="47"/>
      <c r="U2" s="47"/>
      <c r="V2" s="47"/>
      <c r="W2" s="47"/>
      <c r="X2" s="48"/>
      <c r="Y2" s="48"/>
    </row>
    <row r="3" spans="1:27" ht="84">
      <c r="A3" s="6"/>
      <c r="B3" s="7"/>
      <c r="C3" s="7"/>
      <c r="D3" s="7" t="s">
        <v>185</v>
      </c>
      <c r="E3" s="7" t="s">
        <v>186</v>
      </c>
      <c r="F3" s="7" t="s">
        <v>187</v>
      </c>
      <c r="G3" s="7" t="s">
        <v>188</v>
      </c>
      <c r="H3" s="7" t="s">
        <v>189</v>
      </c>
      <c r="I3" s="7" t="s">
        <v>190</v>
      </c>
      <c r="J3" s="7" t="s">
        <v>191</v>
      </c>
      <c r="K3" s="7"/>
      <c r="L3" s="7" t="s">
        <v>192</v>
      </c>
      <c r="M3" s="7" t="s">
        <v>193</v>
      </c>
      <c r="N3" s="7" t="s">
        <v>194</v>
      </c>
      <c r="O3" s="8" t="s">
        <v>195</v>
      </c>
      <c r="P3" s="7" t="s">
        <v>196</v>
      </c>
      <c r="Q3" s="57" t="s">
        <v>197</v>
      </c>
      <c r="R3" s="7" t="s">
        <v>198</v>
      </c>
      <c r="S3" s="7" t="s">
        <v>199</v>
      </c>
      <c r="T3" s="7" t="s">
        <v>200</v>
      </c>
      <c r="U3" s="6" t="s">
        <v>201</v>
      </c>
      <c r="V3" s="6"/>
      <c r="W3" s="6"/>
      <c r="X3" s="26"/>
      <c r="Y3" s="26"/>
      <c r="Z3" s="26"/>
      <c r="AA3" s="26"/>
    </row>
    <row r="4" spans="1:27" ht="16" thickBot="1">
      <c r="A4" s="47"/>
      <c r="B4" s="47"/>
      <c r="C4" s="47"/>
      <c r="D4" s="47"/>
      <c r="E4" s="72"/>
      <c r="F4" s="47"/>
      <c r="G4" s="47"/>
      <c r="H4" s="72"/>
      <c r="I4" s="72"/>
      <c r="J4" s="47"/>
      <c r="K4" s="47"/>
      <c r="L4" s="47"/>
      <c r="M4" s="47"/>
      <c r="N4" s="171"/>
      <c r="O4" s="47"/>
      <c r="P4" s="47"/>
      <c r="Q4" s="47"/>
      <c r="R4" s="47"/>
      <c r="S4" s="47"/>
      <c r="T4" s="47"/>
      <c r="U4" s="47"/>
      <c r="V4" s="47"/>
      <c r="W4" s="47"/>
      <c r="X4" s="48"/>
      <c r="Y4" s="48"/>
    </row>
    <row r="5" spans="1:27" ht="97" thickBot="1">
      <c r="A5" s="42"/>
      <c r="B5" s="195" t="s">
        <v>154</v>
      </c>
      <c r="C5" s="196" t="s">
        <v>308</v>
      </c>
      <c r="D5" s="197" t="s">
        <v>303</v>
      </c>
      <c r="E5" s="198">
        <v>351</v>
      </c>
      <c r="F5" s="197">
        <v>814</v>
      </c>
      <c r="G5" s="197">
        <v>1285.19</v>
      </c>
      <c r="H5" s="198">
        <f>G5-F5</f>
        <v>471.19000000000005</v>
      </c>
      <c r="I5" s="199">
        <f>((29.948/365)*E5)+((89.85/365)*E5)</f>
        <v>115.20300821917809</v>
      </c>
      <c r="J5" s="200">
        <f>ROUND(1.07*I5,2)</f>
        <v>123.27</v>
      </c>
      <c r="K5" s="197"/>
      <c r="L5" s="197">
        <f>H5*2.485</f>
        <v>1170.90715</v>
      </c>
      <c r="M5" s="201">
        <f t="shared" ref="M5" si="0">ROUND(1.07*L5,2)</f>
        <v>1252.8699999999999</v>
      </c>
      <c r="N5" s="202">
        <f>J5+M5</f>
        <v>1376.1399999999999</v>
      </c>
      <c r="O5" s="197"/>
      <c r="P5" s="203">
        <f>206*10</f>
        <v>2060</v>
      </c>
      <c r="Q5" s="197"/>
      <c r="R5" s="197"/>
      <c r="S5" s="197"/>
      <c r="T5" s="197"/>
      <c r="U5" s="204">
        <f>M5/H5</f>
        <v>2.658948619452874</v>
      </c>
      <c r="V5" s="205" t="s">
        <v>283</v>
      </c>
      <c r="W5" s="42"/>
      <c r="X5" s="26"/>
      <c r="Y5" s="26"/>
      <c r="Z5" s="26"/>
      <c r="AA5" s="26"/>
    </row>
    <row r="6" spans="1:27" ht="16" thickBot="1">
      <c r="A6" s="6"/>
      <c r="B6" s="182" t="s">
        <v>154</v>
      </c>
      <c r="C6" s="183" t="s">
        <v>203</v>
      </c>
      <c r="D6" s="184"/>
      <c r="E6" s="185">
        <f>SUM(E5:E5)</f>
        <v>351</v>
      </c>
      <c r="F6" s="186"/>
      <c r="G6" s="187"/>
      <c r="H6" s="114">
        <f>SUM(H5:H5)</f>
        <v>471.19000000000005</v>
      </c>
      <c r="I6" s="188"/>
      <c r="J6" s="189">
        <f>SUM(J5:J5)</f>
        <v>123.27</v>
      </c>
      <c r="K6" s="189"/>
      <c r="L6" s="190"/>
      <c r="M6" s="191">
        <f>SUM(M5:M5)</f>
        <v>1252.8699999999999</v>
      </c>
      <c r="N6" s="192">
        <f>SUM(N5:N5)</f>
        <v>1376.1399999999999</v>
      </c>
      <c r="O6" s="193">
        <f>SUM(O5:O5)</f>
        <v>0</v>
      </c>
      <c r="P6" s="190"/>
      <c r="Q6" s="194"/>
      <c r="R6" s="194"/>
      <c r="S6" s="194"/>
      <c r="T6" s="194"/>
      <c r="U6" s="166"/>
      <c r="V6" s="6"/>
      <c r="W6" s="6"/>
      <c r="X6" s="26"/>
      <c r="Y6" s="26"/>
      <c r="Z6" s="26"/>
      <c r="AA6" s="26"/>
    </row>
    <row r="7" spans="1:27" ht="16">
      <c r="A7" s="47"/>
      <c r="B7" s="47"/>
      <c r="C7" s="47"/>
      <c r="D7" s="47"/>
      <c r="E7" s="72"/>
      <c r="F7" s="47"/>
      <c r="G7" s="47"/>
      <c r="H7" s="72"/>
      <c r="I7" s="72"/>
      <c r="J7" s="47"/>
      <c r="K7" s="47"/>
      <c r="L7" s="47"/>
      <c r="M7" s="71"/>
      <c r="O7" s="47"/>
      <c r="P7" s="47"/>
      <c r="Q7" s="47"/>
      <c r="R7" s="47"/>
      <c r="S7" s="47"/>
      <c r="T7" s="47"/>
      <c r="U7" s="147">
        <v>2.4849999999999999</v>
      </c>
      <c r="V7" s="118" t="s">
        <v>281</v>
      </c>
      <c r="W7" s="48" t="s">
        <v>316</v>
      </c>
    </row>
    <row r="8" spans="1:27">
      <c r="A8" s="47"/>
      <c r="B8" s="47"/>
      <c r="C8" s="47"/>
      <c r="D8" s="47"/>
      <c r="E8" s="72"/>
      <c r="F8" s="47"/>
      <c r="G8" s="47"/>
      <c r="H8" s="119"/>
      <c r="I8" s="72"/>
      <c r="J8" s="47"/>
      <c r="K8" s="47"/>
      <c r="L8" s="47"/>
      <c r="M8" s="71"/>
      <c r="O8" s="47"/>
      <c r="P8" s="47"/>
      <c r="Q8" s="47"/>
      <c r="R8" s="47"/>
      <c r="S8" s="47"/>
      <c r="T8" s="47"/>
      <c r="U8" s="47"/>
      <c r="V8" s="47"/>
      <c r="W8" s="47"/>
      <c r="X8" s="48"/>
    </row>
    <row r="9" spans="1:27" ht="16" thickBot="1">
      <c r="A9" s="48"/>
      <c r="B9" s="48"/>
      <c r="C9" s="48"/>
      <c r="D9" s="48"/>
      <c r="E9" s="85"/>
      <c r="F9" s="48"/>
      <c r="G9" s="48"/>
      <c r="H9" s="85"/>
      <c r="I9" s="85"/>
      <c r="J9" s="48"/>
      <c r="K9" s="48"/>
      <c r="L9" s="48"/>
      <c r="M9" s="48"/>
      <c r="N9" s="172"/>
      <c r="O9" s="48"/>
      <c r="P9" s="48"/>
      <c r="Q9" s="48"/>
      <c r="R9" s="48"/>
      <c r="S9" s="48"/>
      <c r="T9" s="48"/>
      <c r="V9" s="48"/>
      <c r="W9" s="48"/>
      <c r="X9" s="48"/>
    </row>
    <row r="10" spans="1:27" s="26" customFormat="1" ht="57" thickBot="1">
      <c r="A10" s="6"/>
      <c r="B10" s="167" t="s">
        <v>153</v>
      </c>
      <c r="C10" s="209" t="s">
        <v>302</v>
      </c>
      <c r="D10" s="210" t="s">
        <v>309</v>
      </c>
      <c r="E10" s="168">
        <v>360</v>
      </c>
      <c r="F10" s="211">
        <v>474.88799999999998</v>
      </c>
      <c r="G10" s="211">
        <v>943.21</v>
      </c>
      <c r="H10" s="212">
        <f>G10-F10</f>
        <v>468.32200000000006</v>
      </c>
      <c r="I10" s="213">
        <f>((29.948/365)*E10)+((89.85/365)*E10)</f>
        <v>118.15693150684932</v>
      </c>
      <c r="J10" s="214">
        <f>ROUND(1.07*I10,2)</f>
        <v>126.43</v>
      </c>
      <c r="K10" s="214"/>
      <c r="L10" s="214">
        <f>H10*2.485</f>
        <v>1163.78017</v>
      </c>
      <c r="M10" s="214">
        <f t="shared" ref="M10" si="1">ROUND(1.07*L10,2)</f>
        <v>1245.24</v>
      </c>
      <c r="N10" s="215">
        <f>J10+M10</f>
        <v>1371.67</v>
      </c>
      <c r="O10" s="214"/>
      <c r="P10" s="215">
        <f>11*82</f>
        <v>902</v>
      </c>
      <c r="Q10" s="216"/>
      <c r="R10" s="216"/>
      <c r="S10" s="216"/>
      <c r="T10" s="216"/>
      <c r="U10" s="204">
        <f>M10/H10</f>
        <v>2.6589397892902742</v>
      </c>
      <c r="V10" s="205" t="s">
        <v>283</v>
      </c>
      <c r="W10" s="6"/>
    </row>
    <row r="11" spans="1:27" ht="16" thickBot="1">
      <c r="A11" s="118"/>
      <c r="B11" s="206" t="s">
        <v>153</v>
      </c>
      <c r="C11" s="183" t="s">
        <v>203</v>
      </c>
      <c r="D11" s="184"/>
      <c r="E11" s="183"/>
      <c r="F11" s="186"/>
      <c r="G11" s="187"/>
      <c r="H11" s="3"/>
      <c r="I11" s="188"/>
      <c r="J11" s="189"/>
      <c r="K11" s="189"/>
      <c r="L11" s="190"/>
      <c r="M11" s="207"/>
      <c r="N11" s="192"/>
      <c r="O11" s="208"/>
      <c r="P11" s="190"/>
      <c r="Q11" s="194"/>
      <c r="R11" s="194"/>
      <c r="S11" s="194"/>
      <c r="T11" s="194"/>
      <c r="U11" s="6"/>
      <c r="V11" s="118"/>
      <c r="W11" s="118"/>
      <c r="X11" s="26"/>
      <c r="Y11" s="26"/>
      <c r="Z11" s="26"/>
      <c r="AA11" s="26"/>
    </row>
    <row r="12" spans="1:27">
      <c r="A12" s="118"/>
      <c r="B12" s="47"/>
      <c r="C12" s="6"/>
      <c r="D12" s="18"/>
      <c r="E12" s="6"/>
      <c r="F12" s="19"/>
      <c r="G12" s="19"/>
      <c r="H12" s="19"/>
      <c r="I12" s="21"/>
      <c r="J12" s="47"/>
      <c r="K12" s="47"/>
      <c r="L12" s="47"/>
      <c r="M12" s="47"/>
      <c r="N12" s="171"/>
      <c r="O12" s="47"/>
      <c r="P12" s="47"/>
      <c r="Q12" s="21"/>
      <c r="R12" s="21"/>
      <c r="S12" s="21"/>
      <c r="U12" s="6"/>
      <c r="V12" s="118"/>
      <c r="W12" s="118"/>
      <c r="X12" s="26"/>
      <c r="Y12" s="26"/>
      <c r="Z12" s="26"/>
      <c r="AA12" s="26"/>
    </row>
    <row r="13" spans="1:27" ht="17" thickBot="1">
      <c r="A13" s="118"/>
      <c r="B13" s="47"/>
      <c r="C13" s="6"/>
      <c r="D13" s="18"/>
      <c r="E13" s="6"/>
      <c r="F13" s="19"/>
      <c r="G13" s="19"/>
      <c r="H13" s="19"/>
      <c r="I13" s="21"/>
      <c r="J13" s="47"/>
      <c r="K13" s="47"/>
      <c r="L13" s="47"/>
      <c r="M13" s="47"/>
      <c r="N13" s="171"/>
      <c r="O13" s="47"/>
      <c r="P13" s="47"/>
      <c r="Q13" s="21"/>
      <c r="R13" s="21"/>
      <c r="S13" s="21"/>
      <c r="T13" s="21"/>
      <c r="U13" s="147">
        <v>2.4849999999999999</v>
      </c>
      <c r="V13" s="118" t="s">
        <v>281</v>
      </c>
      <c r="W13" s="48" t="s">
        <v>316</v>
      </c>
      <c r="X13" s="26"/>
      <c r="Y13" s="26"/>
      <c r="Z13" s="26"/>
      <c r="AA13" s="26"/>
    </row>
    <row r="14" spans="1:27" s="26" customFormat="1" ht="57" thickBot="1">
      <c r="A14" s="118"/>
      <c r="B14" s="195" t="s">
        <v>204</v>
      </c>
      <c r="C14" s="209" t="s">
        <v>302</v>
      </c>
      <c r="D14" s="220" t="s">
        <v>313</v>
      </c>
      <c r="E14" s="198">
        <v>355</v>
      </c>
      <c r="F14" s="221">
        <v>15</v>
      </c>
      <c r="G14" s="222">
        <v>18.5</v>
      </c>
      <c r="H14" s="221">
        <f>G14-F14</f>
        <v>3.5</v>
      </c>
      <c r="I14" s="221">
        <f>((29.948/365)*E14)+((89.85/365)*E14)</f>
        <v>116.51586301369863</v>
      </c>
      <c r="J14" s="222">
        <f>ROUND(1.07*I14,2)</f>
        <v>124.67</v>
      </c>
      <c r="K14" s="222"/>
      <c r="L14" s="222">
        <f>H14*2.485</f>
        <v>8.6974999999999998</v>
      </c>
      <c r="M14" s="222">
        <f t="shared" ref="M14" si="2">ROUND(1.07*L14,2)</f>
        <v>9.31</v>
      </c>
      <c r="N14" s="223">
        <f>J14+M14</f>
        <v>133.97999999999999</v>
      </c>
      <c r="O14" s="222"/>
      <c r="P14" s="223">
        <f>7*10</f>
        <v>70</v>
      </c>
      <c r="Q14" s="222"/>
      <c r="R14" s="222"/>
      <c r="S14" s="222"/>
      <c r="T14" s="222"/>
      <c r="U14" s="222">
        <f>M14/H14</f>
        <v>2.66</v>
      </c>
      <c r="V14" s="32" t="s">
        <v>283</v>
      </c>
      <c r="W14" s="118"/>
    </row>
    <row r="15" spans="1:27" ht="17" thickBot="1">
      <c r="A15" s="118"/>
      <c r="B15" s="217" t="s">
        <v>204</v>
      </c>
      <c r="C15" s="183" t="s">
        <v>203</v>
      </c>
      <c r="D15" s="184"/>
      <c r="E15" s="183"/>
      <c r="F15" s="186"/>
      <c r="G15" s="187"/>
      <c r="H15" s="218"/>
      <c r="I15" s="188"/>
      <c r="J15" s="189"/>
      <c r="K15" s="189"/>
      <c r="L15" s="190"/>
      <c r="M15" s="219"/>
      <c r="N15" s="192"/>
      <c r="O15" s="208"/>
      <c r="P15" s="190"/>
      <c r="Q15" s="194"/>
      <c r="R15" s="194"/>
      <c r="S15" s="194"/>
      <c r="T15" s="194"/>
      <c r="U15" s="147">
        <v>2.4849999999999999</v>
      </c>
      <c r="V15" s="118" t="s">
        <v>281</v>
      </c>
      <c r="W15" s="48" t="s">
        <v>316</v>
      </c>
      <c r="X15" s="26"/>
      <c r="Y15" s="26"/>
      <c r="Z15" s="26"/>
      <c r="AA15" s="26"/>
    </row>
    <row r="16" spans="1:27" ht="46" thickBot="1">
      <c r="A16" s="72"/>
      <c r="B16" s="47"/>
      <c r="C16" s="169" t="s">
        <v>205</v>
      </c>
      <c r="D16" s="47"/>
      <c r="E16" s="72"/>
      <c r="F16" s="47"/>
      <c r="G16" s="47"/>
      <c r="H16" s="170">
        <f>H14+H10+H5</f>
        <v>943.01200000000017</v>
      </c>
      <c r="I16" s="72"/>
      <c r="J16" s="170">
        <f>J14+J10+J5</f>
        <v>374.37</v>
      </c>
      <c r="K16" s="170"/>
      <c r="L16" s="170"/>
      <c r="M16" s="170">
        <f>M14+M10+M5</f>
        <v>2507.42</v>
      </c>
      <c r="N16" s="224">
        <f>N14+N10+N5</f>
        <v>2881.79</v>
      </c>
      <c r="O16" s="170">
        <f>O15+O11+O6</f>
        <v>0</v>
      </c>
      <c r="P16" s="173">
        <f>P14+P10+P5</f>
        <v>3032</v>
      </c>
      <c r="Q16" s="47"/>
      <c r="R16" s="47"/>
      <c r="S16" s="47"/>
      <c r="T16" s="47"/>
      <c r="U16" s="47"/>
      <c r="V16" s="47"/>
      <c r="W16" s="47"/>
      <c r="X16" s="48"/>
      <c r="Y16" s="48"/>
    </row>
    <row r="17" spans="1:27">
      <c r="A17" s="49"/>
      <c r="B17" s="47"/>
      <c r="C17" s="54"/>
      <c r="D17" s="47"/>
      <c r="E17" s="72"/>
      <c r="F17" s="47"/>
      <c r="G17" s="47"/>
      <c r="H17" s="72"/>
      <c r="I17" s="72"/>
      <c r="J17" s="47"/>
      <c r="K17" s="47"/>
      <c r="L17" s="47"/>
      <c r="M17" s="47">
        <v>1867.4739104000005</v>
      </c>
      <c r="N17" s="171"/>
      <c r="O17" s="55"/>
      <c r="P17" s="47"/>
      <c r="Q17" s="47"/>
      <c r="R17" s="47"/>
      <c r="S17" s="47"/>
      <c r="T17" s="47"/>
      <c r="U17" s="47"/>
      <c r="V17" s="42"/>
      <c r="W17" s="42"/>
      <c r="X17" s="48"/>
      <c r="Y17" s="48"/>
    </row>
    <row r="18" spans="1:27">
      <c r="A18" s="47"/>
      <c r="B18" s="47"/>
      <c r="C18" s="47"/>
      <c r="D18" s="47"/>
      <c r="E18" s="72"/>
      <c r="F18" s="47"/>
      <c r="G18" s="47"/>
      <c r="H18" s="72"/>
      <c r="I18" s="72"/>
      <c r="J18" s="56"/>
      <c r="K18" s="56"/>
      <c r="L18" s="47"/>
      <c r="M18" s="47">
        <v>106.19999999999975</v>
      </c>
      <c r="N18" s="171"/>
      <c r="O18" s="47"/>
      <c r="P18" s="47"/>
      <c r="Q18" s="47"/>
      <c r="R18" s="47"/>
      <c r="S18" s="47"/>
      <c r="T18" s="47"/>
      <c r="U18" s="47"/>
      <c r="V18" s="42"/>
      <c r="W18" s="42"/>
      <c r="X18" s="48"/>
      <c r="Y18" s="48"/>
    </row>
    <row r="19" spans="1:27">
      <c r="A19" s="47"/>
      <c r="B19" s="47"/>
      <c r="C19" s="47"/>
      <c r="D19" s="47"/>
      <c r="E19" s="72"/>
      <c r="F19" s="47"/>
      <c r="G19" s="47"/>
      <c r="H19" s="72"/>
      <c r="I19" s="72"/>
      <c r="J19" s="47"/>
      <c r="K19" s="47"/>
      <c r="L19" s="47">
        <f>2.44*1.07</f>
        <v>2.6108000000000002</v>
      </c>
      <c r="M19" s="69">
        <f>SUM(M17:M18)</f>
        <v>1973.6739104000003</v>
      </c>
      <c r="N19" s="171"/>
      <c r="O19" s="70">
        <v>2235.8639103999999</v>
      </c>
      <c r="P19" s="47"/>
      <c r="Q19" s="47"/>
      <c r="R19" s="47"/>
      <c r="S19" s="47"/>
      <c r="T19" s="47"/>
      <c r="U19" s="47"/>
      <c r="V19" s="47"/>
      <c r="W19" s="47"/>
      <c r="X19" s="48"/>
      <c r="Y19" s="48"/>
    </row>
    <row r="20" spans="1:27">
      <c r="A20" s="47"/>
      <c r="B20" s="47"/>
      <c r="C20" s="47"/>
      <c r="D20" s="47"/>
      <c r="E20" s="72"/>
      <c r="F20" s="47"/>
      <c r="G20" s="47"/>
      <c r="H20" s="72"/>
      <c r="I20" s="72"/>
      <c r="J20" s="47"/>
      <c r="K20" s="47"/>
      <c r="L20" s="47"/>
      <c r="M20" s="47"/>
      <c r="N20" s="171"/>
      <c r="O20" s="47"/>
      <c r="P20" s="47"/>
      <c r="Q20" s="47"/>
      <c r="R20" s="47"/>
      <c r="S20" s="47"/>
      <c r="T20" s="47"/>
      <c r="U20" s="47"/>
      <c r="V20" s="47"/>
      <c r="W20" s="47"/>
      <c r="X20" s="48"/>
      <c r="Y20" s="48"/>
    </row>
    <row r="21" spans="1:27">
      <c r="A21" s="42"/>
      <c r="B21" s="676" t="s">
        <v>257</v>
      </c>
      <c r="C21" s="676"/>
      <c r="D21" s="676"/>
      <c r="E21" s="676"/>
      <c r="F21" s="676"/>
      <c r="G21" s="676"/>
      <c r="H21" s="676"/>
      <c r="I21" s="676"/>
      <c r="J21" s="676"/>
      <c r="K21" s="676"/>
      <c r="L21" s="676"/>
      <c r="M21" s="676"/>
      <c r="N21" s="676"/>
      <c r="O21" s="676"/>
      <c r="P21" s="676"/>
      <c r="Q21" s="676"/>
      <c r="R21" s="42"/>
      <c r="S21" s="42"/>
      <c r="T21" s="42"/>
      <c r="U21" s="42"/>
      <c r="V21" s="42"/>
      <c r="W21" s="42"/>
      <c r="X21" s="26"/>
      <c r="Y21" s="26"/>
      <c r="Z21" s="26"/>
      <c r="AA21" s="26"/>
    </row>
    <row r="22" spans="1:27" ht="32">
      <c r="A22" s="42"/>
      <c r="B22" s="42"/>
      <c r="C22" s="42" t="s">
        <v>206</v>
      </c>
      <c r="D22" s="73">
        <f>J16</f>
        <v>374.37</v>
      </c>
      <c r="E22" s="118"/>
      <c r="F22" s="42"/>
      <c r="G22" s="42"/>
      <c r="H22" s="118"/>
      <c r="I22" s="118"/>
      <c r="J22" s="42"/>
      <c r="K22" s="42"/>
      <c r="L22" s="42"/>
      <c r="M22" s="42"/>
      <c r="N22" s="70"/>
      <c r="O22" s="42"/>
      <c r="P22" s="42"/>
      <c r="Q22" s="42"/>
      <c r="R22" s="42"/>
      <c r="S22" s="42"/>
      <c r="T22" s="42"/>
      <c r="U22" s="42"/>
      <c r="V22" s="42"/>
      <c r="W22" s="42"/>
      <c r="X22" s="26"/>
      <c r="Y22" s="26"/>
      <c r="Z22" s="26"/>
      <c r="AA22" s="26"/>
    </row>
    <row r="23" spans="1:27" ht="16" thickBot="1">
      <c r="A23" s="42"/>
      <c r="B23" s="677" t="s">
        <v>207</v>
      </c>
      <c r="C23" s="677"/>
      <c r="D23" s="225">
        <v>156</v>
      </c>
      <c r="E23" s="118"/>
      <c r="F23" s="42"/>
      <c r="G23" s="42"/>
      <c r="H23" s="118"/>
      <c r="I23" s="118"/>
      <c r="J23" s="42"/>
      <c r="K23" s="42"/>
      <c r="L23" s="42"/>
      <c r="M23" s="42"/>
      <c r="N23" s="70"/>
      <c r="O23" s="42"/>
      <c r="P23" s="42"/>
      <c r="Q23" s="42"/>
      <c r="R23" s="42"/>
      <c r="S23" s="42"/>
      <c r="T23" s="42"/>
      <c r="U23" s="42"/>
      <c r="V23" s="42"/>
      <c r="W23" s="42"/>
      <c r="X23" s="26"/>
      <c r="Y23" s="26"/>
      <c r="Z23" s="26"/>
      <c r="AA23" s="26"/>
    </row>
    <row r="24" spans="1:27">
      <c r="A24" s="42"/>
      <c r="B24" s="26"/>
      <c r="C24" s="26"/>
      <c r="D24" s="94">
        <f>D22/D23</f>
        <v>2.3998076923076925</v>
      </c>
      <c r="E24" s="86"/>
      <c r="F24" s="26" t="s">
        <v>256</v>
      </c>
      <c r="G24" s="26"/>
      <c r="H24" s="86"/>
      <c r="I24" s="86"/>
      <c r="J24" s="26"/>
      <c r="K24" s="26"/>
      <c r="L24" s="26"/>
      <c r="M24" s="26"/>
      <c r="N24" s="174"/>
      <c r="O24" s="26"/>
      <c r="P24" s="26"/>
      <c r="Q24" s="26"/>
      <c r="R24" s="26"/>
      <c r="S24" s="26"/>
      <c r="T24" s="26"/>
      <c r="U24" s="26"/>
      <c r="V24" s="42"/>
      <c r="W24" s="42"/>
      <c r="X24" s="26"/>
      <c r="Y24" s="26"/>
      <c r="Z24" s="26"/>
      <c r="AA24" s="26"/>
    </row>
    <row r="25" spans="1:27">
      <c r="A25" s="47"/>
      <c r="B25" s="48"/>
      <c r="C25" s="48"/>
      <c r="D25" s="48"/>
      <c r="E25" s="85"/>
      <c r="F25" s="48"/>
      <c r="G25" s="48"/>
      <c r="H25" s="85"/>
      <c r="I25" s="85"/>
      <c r="J25" s="48"/>
      <c r="K25" s="48"/>
      <c r="L25" s="48"/>
      <c r="M25" s="48"/>
      <c r="N25" s="172"/>
      <c r="O25" s="48"/>
      <c r="P25" s="48"/>
      <c r="Q25" s="48"/>
      <c r="R25" s="48"/>
      <c r="S25" s="48"/>
      <c r="T25" s="48"/>
      <c r="U25" s="48"/>
      <c r="V25" s="47"/>
      <c r="W25" s="47"/>
      <c r="X25" s="48"/>
      <c r="Y25" s="48"/>
    </row>
    <row r="26" spans="1:27">
      <c r="E26" s="91"/>
      <c r="H26" s="91"/>
      <c r="I26" s="91"/>
    </row>
    <row r="27" spans="1:27">
      <c r="E27" s="91"/>
      <c r="H27" s="91"/>
      <c r="I27" s="91"/>
    </row>
    <row r="28" spans="1:27">
      <c r="E28" s="91"/>
      <c r="H28" s="91"/>
      <c r="I28" s="91"/>
    </row>
    <row r="29" spans="1:27">
      <c r="E29" s="91"/>
      <c r="H29" s="91"/>
      <c r="I29" s="91"/>
    </row>
    <row r="30" spans="1:27">
      <c r="E30" s="91"/>
      <c r="H30" s="91"/>
      <c r="I30" s="91"/>
    </row>
    <row r="31" spans="1:27">
      <c r="E31" s="91"/>
      <c r="H31" s="91"/>
      <c r="I31" s="91"/>
    </row>
    <row r="32" spans="1:27">
      <c r="E32" s="91"/>
      <c r="H32" s="91"/>
      <c r="I32" s="91"/>
    </row>
    <row r="33" spans="5:9">
      <c r="E33" s="91"/>
      <c r="H33" s="91"/>
      <c r="I33" s="91"/>
    </row>
    <row r="34" spans="5:9">
      <c r="E34" s="91"/>
      <c r="H34" s="91"/>
      <c r="I34" s="91"/>
    </row>
  </sheetData>
  <mergeCells count="3">
    <mergeCell ref="B1:R1"/>
    <mergeCell ref="B21:Q21"/>
    <mergeCell ref="B23:C23"/>
  </mergeCells>
  <pageMargins left="0.7" right="0.7" top="0.78740157499999996" bottom="0.78740157499999996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98"/>
  <sheetViews>
    <sheetView zoomScale="90" zoomScaleNormal="90" workbookViewId="0">
      <selection sqref="A1:Z102"/>
    </sheetView>
  </sheetViews>
  <sheetFormatPr baseColWidth="10" defaultColWidth="11.5" defaultRowHeight="14"/>
  <cols>
    <col min="1" max="2" width="11.5" style="368"/>
    <col min="3" max="3" width="27.6640625" style="368" customWidth="1"/>
    <col min="4" max="4" width="27.1640625" style="368" customWidth="1"/>
    <col min="5" max="5" width="11.5" style="401" bestFit="1" customWidth="1"/>
    <col min="6" max="6" width="15.1640625" style="401" customWidth="1"/>
    <col min="7" max="9" width="11.5" style="368" bestFit="1" customWidth="1"/>
    <col min="10" max="10" width="13" style="368" bestFit="1" customWidth="1"/>
    <col min="11" max="13" width="11.5" style="368" bestFit="1" customWidth="1"/>
    <col min="14" max="14" width="11.5" style="368"/>
    <col min="15" max="15" width="11.5" style="368" bestFit="1" customWidth="1"/>
    <col min="16" max="16" width="12.1640625" style="368" bestFit="1" customWidth="1"/>
    <col min="17" max="17" width="11.5" style="368"/>
    <col min="18" max="19" width="12" style="368" bestFit="1" customWidth="1"/>
    <col min="20" max="20" width="11.83203125" style="368" customWidth="1"/>
    <col min="21" max="22" width="12" style="368" bestFit="1" customWidth="1"/>
    <col min="23" max="24" width="11.5" style="368"/>
    <col min="25" max="25" width="12" style="368" bestFit="1" customWidth="1"/>
    <col min="26" max="26" width="18" style="368" customWidth="1"/>
    <col min="27" max="28" width="11.5" style="368"/>
    <col min="29" max="29" width="11.83203125" style="368" customWidth="1"/>
    <col min="30" max="31" width="11.5" style="368" bestFit="1" customWidth="1"/>
    <col min="32" max="16384" width="11.5" style="368"/>
  </cols>
  <sheetData>
    <row r="1" spans="1:34" ht="18">
      <c r="A1" s="366"/>
      <c r="B1" s="669" t="s">
        <v>320</v>
      </c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  <c r="Z1" s="669"/>
      <c r="AA1" s="117"/>
      <c r="AB1" s="117"/>
      <c r="AC1" s="366"/>
      <c r="AD1" s="366"/>
      <c r="AE1" s="366"/>
      <c r="AF1" s="367"/>
      <c r="AG1" s="367"/>
      <c r="AH1" s="367"/>
    </row>
    <row r="2" spans="1:34" ht="15" thickBot="1">
      <c r="A2" s="369"/>
      <c r="B2" s="369"/>
      <c r="C2" s="369"/>
      <c r="D2" s="369"/>
      <c r="E2" s="370"/>
      <c r="F2" s="370"/>
      <c r="G2" s="369"/>
      <c r="H2" s="370"/>
      <c r="I2" s="370"/>
      <c r="J2" s="370"/>
      <c r="K2" s="370"/>
      <c r="L2" s="370"/>
      <c r="M2" s="369"/>
      <c r="N2" s="369"/>
      <c r="O2" s="369"/>
      <c r="P2" s="369"/>
      <c r="Q2" s="369"/>
      <c r="R2" s="369"/>
      <c r="S2" s="371"/>
      <c r="T2" s="371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72"/>
      <c r="AG2" s="372"/>
    </row>
    <row r="3" spans="1:34" ht="99" thickBot="1">
      <c r="A3" s="681" t="s">
        <v>641</v>
      </c>
      <c r="B3" s="353"/>
      <c r="C3" s="354"/>
      <c r="D3" s="354" t="s">
        <v>185</v>
      </c>
      <c r="E3" s="354" t="s">
        <v>186</v>
      </c>
      <c r="F3" s="354" t="s">
        <v>187</v>
      </c>
      <c r="G3" s="354" t="s">
        <v>188</v>
      </c>
      <c r="H3" s="354" t="s">
        <v>189</v>
      </c>
      <c r="I3" s="355" t="s">
        <v>651</v>
      </c>
      <c r="J3" s="354" t="s">
        <v>190</v>
      </c>
      <c r="K3" s="354"/>
      <c r="L3" s="354" t="s">
        <v>652</v>
      </c>
      <c r="M3" s="354" t="s">
        <v>655</v>
      </c>
      <c r="N3" s="355" t="s">
        <v>656</v>
      </c>
      <c r="O3" s="355"/>
      <c r="P3" s="354" t="s">
        <v>192</v>
      </c>
      <c r="Q3" s="355" t="s">
        <v>658</v>
      </c>
      <c r="R3" s="354" t="s">
        <v>193</v>
      </c>
      <c r="S3" s="354" t="s">
        <v>657</v>
      </c>
      <c r="T3" s="356" t="s">
        <v>654</v>
      </c>
      <c r="U3" s="296" t="s">
        <v>195</v>
      </c>
      <c r="V3" s="7" t="s">
        <v>196</v>
      </c>
      <c r="W3" s="7" t="s">
        <v>654</v>
      </c>
      <c r="X3" s="7" t="s">
        <v>653</v>
      </c>
      <c r="Y3" s="57" t="s">
        <v>197</v>
      </c>
      <c r="Z3" s="7" t="s">
        <v>198</v>
      </c>
      <c r="AA3" s="7" t="s">
        <v>199</v>
      </c>
      <c r="AB3" s="7" t="s">
        <v>200</v>
      </c>
      <c r="AC3" s="6" t="s">
        <v>201</v>
      </c>
      <c r="AD3" s="6"/>
      <c r="AE3" s="6"/>
      <c r="AF3" s="367"/>
      <c r="AG3" s="367"/>
      <c r="AH3" s="367"/>
    </row>
    <row r="4" spans="1:34" s="379" customFormat="1" ht="45.75" customHeight="1" thickBot="1">
      <c r="A4" s="682"/>
      <c r="B4" s="348" t="s">
        <v>154</v>
      </c>
      <c r="C4" s="373" t="s">
        <v>659</v>
      </c>
      <c r="D4" s="349" t="s">
        <v>303</v>
      </c>
      <c r="E4" s="374">
        <v>351</v>
      </c>
      <c r="F4" s="349">
        <v>814</v>
      </c>
      <c r="G4" s="374">
        <v>1285.19</v>
      </c>
      <c r="H4" s="349">
        <f>G4-F4</f>
        <v>471.19000000000005</v>
      </c>
      <c r="I4" s="349"/>
      <c r="J4" s="375">
        <f>((29.948/365)*E4)+((89.85/365)*E4)</f>
        <v>115.20300821917809</v>
      </c>
      <c r="K4" s="375"/>
      <c r="L4" s="375"/>
      <c r="M4" s="350">
        <f>ROUND(1.07*J4,2)</f>
        <v>123.27</v>
      </c>
      <c r="N4" s="373"/>
      <c r="O4" s="373"/>
      <c r="P4" s="350">
        <f>H4*2.485</f>
        <v>1170.90715</v>
      </c>
      <c r="Q4" s="350"/>
      <c r="R4" s="375">
        <f t="shared" ref="R4:R9" si="0">ROUND(1.07*P4,2)</f>
        <v>1252.8699999999999</v>
      </c>
      <c r="S4" s="351">
        <f>M4+R4</f>
        <v>1376.1399999999999</v>
      </c>
      <c r="T4" s="357"/>
      <c r="U4" s="373"/>
      <c r="V4" s="349">
        <f>206*10</f>
        <v>2060</v>
      </c>
      <c r="W4" s="352"/>
      <c r="X4" s="352"/>
      <c r="Y4" s="376">
        <f>V4-S5</f>
        <v>2060</v>
      </c>
      <c r="Z4" s="352" t="s">
        <v>628</v>
      </c>
      <c r="AA4" s="376"/>
      <c r="AB4" s="352"/>
      <c r="AC4" s="377">
        <f>R4/H4</f>
        <v>2.658948619452874</v>
      </c>
      <c r="AD4" s="21" t="s">
        <v>283</v>
      </c>
      <c r="AE4" s="378"/>
    </row>
    <row r="5" spans="1:34">
      <c r="A5" s="682"/>
      <c r="B5" s="358"/>
      <c r="C5" s="38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359"/>
      <c r="U5" s="21"/>
      <c r="V5" s="21"/>
      <c r="W5" s="21"/>
      <c r="X5" s="21"/>
      <c r="Y5" s="380"/>
      <c r="Z5" s="21"/>
      <c r="AA5" s="380"/>
      <c r="AB5" s="21"/>
      <c r="AC5" s="380"/>
      <c r="AD5" s="21"/>
      <c r="AE5" s="6"/>
      <c r="AF5" s="367"/>
      <c r="AG5" s="367"/>
      <c r="AH5" s="367"/>
    </row>
    <row r="6" spans="1:34">
      <c r="A6" s="682"/>
      <c r="B6" s="358"/>
      <c r="C6" s="380"/>
      <c r="D6" s="21"/>
      <c r="E6" s="381"/>
      <c r="F6" s="21"/>
      <c r="G6" s="380"/>
      <c r="H6" s="21"/>
      <c r="I6" s="21"/>
      <c r="J6" s="382"/>
      <c r="K6" s="382"/>
      <c r="L6" s="382"/>
      <c r="M6" s="233"/>
      <c r="N6" s="380"/>
      <c r="O6" s="380"/>
      <c r="P6" s="233"/>
      <c r="Q6" s="233"/>
      <c r="R6" s="382"/>
      <c r="S6" s="233"/>
      <c r="T6" s="360"/>
      <c r="U6" s="21"/>
      <c r="V6" s="21"/>
      <c r="W6" s="21"/>
      <c r="X6" s="21"/>
      <c r="Y6" s="380"/>
      <c r="Z6" s="21"/>
      <c r="AA6" s="380"/>
      <c r="AB6" s="21"/>
      <c r="AC6" s="380"/>
      <c r="AD6" s="21"/>
      <c r="AE6" s="6"/>
      <c r="AF6" s="367"/>
      <c r="AG6" s="367"/>
      <c r="AH6" s="367"/>
    </row>
    <row r="7" spans="1:34">
      <c r="A7" s="682"/>
      <c r="B7" s="688" t="s">
        <v>154</v>
      </c>
      <c r="C7" s="686" t="s">
        <v>624</v>
      </c>
      <c r="D7" s="1" t="s">
        <v>667</v>
      </c>
      <c r="E7" s="383">
        <v>58</v>
      </c>
      <c r="F7" s="468">
        <v>831</v>
      </c>
      <c r="G7" s="383">
        <v>909</v>
      </c>
      <c r="H7" s="1">
        <f>G7-F7</f>
        <v>78</v>
      </c>
      <c r="I7" s="271">
        <v>119.8</v>
      </c>
      <c r="J7" s="384">
        <f>((119.8/365)*E7)</f>
        <v>19.036712328767123</v>
      </c>
      <c r="K7" s="384"/>
      <c r="L7" s="272">
        <v>7.0000000000000007E-2</v>
      </c>
      <c r="M7" s="235"/>
      <c r="N7" s="385"/>
      <c r="O7" s="270">
        <v>2.4849999999999999</v>
      </c>
      <c r="P7" s="235">
        <f>H7*2.485</f>
        <v>193.82999999999998</v>
      </c>
      <c r="Q7" s="233"/>
      <c r="R7" s="382"/>
      <c r="S7" s="233"/>
      <c r="T7" s="360"/>
      <c r="U7" s="380"/>
      <c r="V7" s="21"/>
      <c r="W7" s="21"/>
      <c r="X7" s="21"/>
      <c r="Y7" s="380"/>
      <c r="Z7" s="21"/>
      <c r="AA7" s="380"/>
      <c r="AB7" s="21"/>
      <c r="AC7" s="380"/>
      <c r="AD7" s="21"/>
      <c r="AE7" s="6"/>
      <c r="AF7" s="367"/>
      <c r="AG7" s="367"/>
      <c r="AH7" s="367"/>
    </row>
    <row r="8" spans="1:34" ht="15" thickBot="1">
      <c r="A8" s="682"/>
      <c r="B8" s="688"/>
      <c r="C8" s="687"/>
      <c r="D8" s="21" t="s">
        <v>666</v>
      </c>
      <c r="E8" s="386">
        <f>224+22</f>
        <v>246</v>
      </c>
      <c r="F8" s="1">
        <v>909</v>
      </c>
      <c r="G8" s="383">
        <v>1241</v>
      </c>
      <c r="H8" s="1">
        <f>G8-F8</f>
        <v>332</v>
      </c>
      <c r="I8" s="271">
        <v>123.4</v>
      </c>
      <c r="J8" s="387">
        <f>((123.4/365)*E8)</f>
        <v>83.168219178082197</v>
      </c>
      <c r="K8" s="387"/>
      <c r="L8" s="272">
        <v>7.0000000000000007E-2</v>
      </c>
      <c r="M8" s="236"/>
      <c r="N8" s="385"/>
      <c r="O8" s="270">
        <v>2.56</v>
      </c>
      <c r="P8" s="235">
        <f>H8*2.56</f>
        <v>849.92000000000007</v>
      </c>
      <c r="Q8" s="233"/>
      <c r="R8" s="382"/>
      <c r="S8" s="233"/>
      <c r="T8" s="360"/>
      <c r="U8" s="380"/>
      <c r="V8" s="21"/>
      <c r="W8" s="21"/>
      <c r="X8" s="21"/>
      <c r="Y8" s="380"/>
      <c r="Z8" s="21"/>
      <c r="AA8" s="380"/>
      <c r="AB8" s="21"/>
      <c r="AC8" s="380"/>
      <c r="AD8" s="21"/>
      <c r="AE8" s="6"/>
      <c r="AF8" s="367"/>
      <c r="AG8" s="367"/>
      <c r="AH8" s="367"/>
    </row>
    <row r="9" spans="1:34" ht="18.75" customHeight="1" thickBot="1">
      <c r="A9" s="682"/>
      <c r="B9" s="358"/>
      <c r="C9" s="380"/>
      <c r="D9" s="21"/>
      <c r="E9" s="388">
        <f>SUM(E7:E8)</f>
        <v>304</v>
      </c>
      <c r="F9" s="21"/>
      <c r="G9" s="380"/>
      <c r="H9" s="21"/>
      <c r="I9" s="21"/>
      <c r="J9" s="389">
        <f>SUM(J7:J8)</f>
        <v>102.20493150684932</v>
      </c>
      <c r="K9" s="389"/>
      <c r="L9" s="389"/>
      <c r="M9" s="237">
        <f>ROUND(1.07*J9,2)</f>
        <v>109.36</v>
      </c>
      <c r="N9" s="380"/>
      <c r="O9" s="380"/>
      <c r="P9" s="233">
        <f>SUM(P7:P8)</f>
        <v>1043.75</v>
      </c>
      <c r="Q9" s="233"/>
      <c r="R9" s="389">
        <f t="shared" si="0"/>
        <v>1116.81</v>
      </c>
      <c r="S9" s="234">
        <f>M9+R9</f>
        <v>1226.1699999999998</v>
      </c>
      <c r="T9" s="361"/>
      <c r="U9" s="390">
        <v>1226.18</v>
      </c>
      <c r="V9" s="21">
        <f>206*9</f>
        <v>1854</v>
      </c>
      <c r="W9" s="21"/>
      <c r="X9" s="21"/>
      <c r="Y9" s="380">
        <f>V9-U9</f>
        <v>627.81999999999994</v>
      </c>
      <c r="Z9" s="21" t="s">
        <v>629</v>
      </c>
      <c r="AA9" s="380"/>
      <c r="AB9" s="21"/>
      <c r="AC9" s="380"/>
      <c r="AD9" s="21"/>
      <c r="AE9" s="6"/>
      <c r="AF9" s="367"/>
      <c r="AG9" s="367"/>
      <c r="AH9" s="367"/>
    </row>
    <row r="10" spans="1:34" ht="15">
      <c r="A10" s="682"/>
      <c r="B10" s="358" t="s">
        <v>154</v>
      </c>
      <c r="C10" s="391" t="s">
        <v>627</v>
      </c>
      <c r="D10" s="260" t="s">
        <v>625</v>
      </c>
      <c r="E10" s="392">
        <f>26+20</f>
        <v>46</v>
      </c>
      <c r="F10" s="363">
        <v>1241</v>
      </c>
      <c r="G10" s="469">
        <v>1285.19</v>
      </c>
      <c r="H10" s="363">
        <f>G10-F10</f>
        <v>44.190000000000055</v>
      </c>
      <c r="I10" s="363">
        <v>123.4</v>
      </c>
      <c r="J10" s="393">
        <f>((123.4/365)*E10)</f>
        <v>15.551780821917809</v>
      </c>
      <c r="K10" s="393"/>
      <c r="L10" s="393"/>
      <c r="M10" s="364">
        <f>ROUND(1.07*J10,2)</f>
        <v>16.64</v>
      </c>
      <c r="N10" s="394"/>
      <c r="O10" s="394">
        <v>2.56</v>
      </c>
      <c r="P10" s="253">
        <f>H10*2.485</f>
        <v>109.81215000000013</v>
      </c>
      <c r="Q10" s="253"/>
      <c r="R10" s="393">
        <f>ROUND(1.07*P10,2)</f>
        <v>117.5</v>
      </c>
      <c r="S10" s="364">
        <f>M10+R10</f>
        <v>134.13999999999999</v>
      </c>
      <c r="T10" s="362"/>
      <c r="U10" s="21"/>
      <c r="V10" s="21"/>
      <c r="W10" s="21"/>
      <c r="X10" s="21"/>
      <c r="Y10" s="380"/>
      <c r="Z10" s="21"/>
      <c r="AA10" s="380"/>
      <c r="AB10" s="21"/>
      <c r="AC10" s="380"/>
      <c r="AD10" s="21"/>
      <c r="AE10" s="6"/>
      <c r="AF10" s="367"/>
      <c r="AG10" s="367"/>
      <c r="AH10" s="367"/>
    </row>
    <row r="11" spans="1:34" s="398" customFormat="1" ht="15" thickBot="1">
      <c r="A11" s="682"/>
      <c r="B11" s="358"/>
      <c r="C11" s="368"/>
      <c r="D11" s="368"/>
      <c r="E11" s="401"/>
      <c r="F11" s="401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253"/>
      <c r="T11" s="478">
        <f>S10+S9</f>
        <v>1360.31</v>
      </c>
      <c r="U11" s="395"/>
      <c r="V11" s="228"/>
      <c r="W11" s="228"/>
      <c r="X11" s="228"/>
      <c r="Y11" s="396"/>
      <c r="Z11" s="228"/>
      <c r="AA11" s="395"/>
      <c r="AB11" s="228"/>
      <c r="AC11" s="395"/>
      <c r="AD11" s="228"/>
      <c r="AE11" s="229"/>
      <c r="AF11" s="397"/>
      <c r="AG11" s="397"/>
      <c r="AH11" s="397"/>
    </row>
    <row r="12" spans="1:34" ht="19.5" customHeight="1" thickBot="1">
      <c r="A12" s="682"/>
      <c r="B12" s="479"/>
      <c r="C12" s="480"/>
      <c r="D12" s="481"/>
      <c r="E12" s="482"/>
      <c r="F12" s="481"/>
      <c r="G12" s="480"/>
      <c r="H12" s="481"/>
      <c r="I12" s="481"/>
      <c r="J12" s="483"/>
      <c r="K12" s="483"/>
      <c r="L12" s="483"/>
      <c r="M12" s="484"/>
      <c r="N12" s="480"/>
      <c r="O12" s="480"/>
      <c r="P12" s="484"/>
      <c r="Q12" s="484"/>
      <c r="R12" s="483"/>
      <c r="S12" s="484"/>
      <c r="T12" s="485"/>
      <c r="U12" s="380"/>
      <c r="V12" s="21"/>
      <c r="W12" s="21"/>
      <c r="X12" s="21"/>
      <c r="Y12" s="380"/>
      <c r="Z12" s="21"/>
      <c r="AA12" s="380"/>
      <c r="AB12" s="21"/>
      <c r="AC12" s="380"/>
      <c r="AD12" s="21"/>
      <c r="AE12" s="6"/>
      <c r="AF12" s="367"/>
      <c r="AG12" s="367"/>
      <c r="AH12" s="367"/>
    </row>
    <row r="13" spans="1:34">
      <c r="A13" s="682"/>
      <c r="B13" s="486" t="s">
        <v>154</v>
      </c>
      <c r="C13" s="689" t="s">
        <v>626</v>
      </c>
      <c r="D13" s="367" t="s">
        <v>670</v>
      </c>
      <c r="E13" s="446">
        <v>46</v>
      </c>
      <c r="F13" s="367">
        <v>1241</v>
      </c>
      <c r="G13" s="487">
        <v>1285.19</v>
      </c>
      <c r="H13" s="447">
        <f>G13-F13</f>
        <v>44.190000000000055</v>
      </c>
      <c r="I13" s="271">
        <v>123.4</v>
      </c>
      <c r="J13" s="472">
        <f>((123.4/365)*E13)</f>
        <v>15.551780821917809</v>
      </c>
      <c r="K13" s="367"/>
      <c r="L13" s="272">
        <v>0.05</v>
      </c>
      <c r="M13" s="490">
        <f t="shared" ref="M13:M15" si="1">ROUND(1.05*J13,2)</f>
        <v>16.329999999999998</v>
      </c>
      <c r="N13" s="367"/>
      <c r="O13" s="270">
        <v>2.56</v>
      </c>
      <c r="P13" s="472">
        <f>H13*2.56</f>
        <v>113.12640000000015</v>
      </c>
      <c r="Q13" s="367"/>
      <c r="R13" s="367"/>
      <c r="S13" s="367"/>
      <c r="T13" s="488"/>
      <c r="U13" s="367"/>
      <c r="V13" s="379"/>
      <c r="W13" s="21"/>
      <c r="X13" s="21"/>
      <c r="Y13" s="380"/>
      <c r="Z13" s="21"/>
      <c r="AA13" s="380"/>
      <c r="AB13" s="21"/>
      <c r="AC13" s="380"/>
      <c r="AD13" s="21"/>
      <c r="AE13" s="6"/>
      <c r="AF13" s="367"/>
      <c r="AG13" s="367"/>
      <c r="AH13" s="367"/>
    </row>
    <row r="14" spans="1:34">
      <c r="A14" s="682"/>
      <c r="B14" s="486"/>
      <c r="C14" s="689"/>
      <c r="D14" s="367" t="s">
        <v>671</v>
      </c>
      <c r="E14" s="450">
        <f>119-E10</f>
        <v>73</v>
      </c>
      <c r="F14" s="367">
        <v>1285.19</v>
      </c>
      <c r="G14" s="367">
        <v>1462</v>
      </c>
      <c r="H14" s="512">
        <f>G14-F14</f>
        <v>176.80999999999995</v>
      </c>
      <c r="I14" s="271">
        <v>123.4</v>
      </c>
      <c r="J14" s="473">
        <f>((123.4/365)*E14)</f>
        <v>24.680000000000003</v>
      </c>
      <c r="K14" s="367"/>
      <c r="L14" s="272">
        <v>0.05</v>
      </c>
      <c r="M14" s="506">
        <f t="shared" si="1"/>
        <v>25.91</v>
      </c>
      <c r="N14" s="367"/>
      <c r="O14" s="270">
        <v>2.56</v>
      </c>
      <c r="P14" s="473">
        <f>H14*2.56</f>
        <v>452.63359999999989</v>
      </c>
      <c r="Q14" s="367"/>
      <c r="R14" s="367"/>
      <c r="S14" s="367"/>
      <c r="T14" s="488"/>
      <c r="U14" s="367"/>
      <c r="V14" s="379"/>
      <c r="W14" s="21"/>
      <c r="X14" s="21"/>
      <c r="Y14" s="380"/>
      <c r="Z14" s="21"/>
      <c r="AA14" s="380"/>
      <c r="AB14" s="21"/>
      <c r="AC14" s="380"/>
      <c r="AD14" s="21"/>
      <c r="AE14" s="6"/>
      <c r="AF14" s="367"/>
      <c r="AG14" s="367"/>
      <c r="AH14" s="367"/>
    </row>
    <row r="15" spans="1:34" ht="15" thickBot="1">
      <c r="A15" s="682"/>
      <c r="B15" s="489" t="s">
        <v>154</v>
      </c>
      <c r="C15" s="689"/>
      <c r="D15" s="367" t="s">
        <v>668</v>
      </c>
      <c r="E15" s="451">
        <f>223+24</f>
        <v>247</v>
      </c>
      <c r="F15" s="367">
        <v>1462</v>
      </c>
      <c r="G15" s="367">
        <v>1914</v>
      </c>
      <c r="H15" s="512">
        <f>G15-F15</f>
        <v>452</v>
      </c>
      <c r="I15" s="271">
        <v>127.13</v>
      </c>
      <c r="J15" s="474">
        <f>((127.13/365)*E15)</f>
        <v>86.030438356164382</v>
      </c>
      <c r="K15" s="367"/>
      <c r="L15" s="272">
        <v>0.05</v>
      </c>
      <c r="M15" s="506">
        <f t="shared" si="1"/>
        <v>90.33</v>
      </c>
      <c r="N15" s="367"/>
      <c r="O15" s="270">
        <v>2.6373829999999998</v>
      </c>
      <c r="P15" s="474">
        <f>H15*2.637383</f>
        <v>1192.0971159999999</v>
      </c>
      <c r="Q15" s="367"/>
      <c r="R15" s="367"/>
      <c r="S15" s="367"/>
      <c r="T15" s="488"/>
      <c r="U15" s="367"/>
      <c r="V15" s="379"/>
      <c r="W15" s="20"/>
      <c r="X15" s="20"/>
      <c r="Y15" s="21"/>
      <c r="Z15" s="21"/>
      <c r="AA15" s="21"/>
      <c r="AB15" s="21"/>
      <c r="AC15" s="380"/>
      <c r="AD15" s="6"/>
      <c r="AE15" s="6"/>
      <c r="AF15" s="367"/>
      <c r="AG15" s="367"/>
      <c r="AH15" s="367"/>
    </row>
    <row r="16" spans="1:34" ht="15" thickBot="1">
      <c r="A16" s="682"/>
      <c r="B16" s="301"/>
      <c r="C16" s="689"/>
      <c r="D16" s="379"/>
      <c r="E16" s="467">
        <f>SUM(E13:E15)</f>
        <v>366</v>
      </c>
      <c r="F16" s="379"/>
      <c r="G16" s="379"/>
      <c r="H16" s="367"/>
      <c r="I16" s="367"/>
      <c r="J16" s="471">
        <f>SUM(J13:J15)</f>
        <v>126.26221917808219</v>
      </c>
      <c r="K16" s="367"/>
      <c r="L16" s="272">
        <v>0.05</v>
      </c>
      <c r="M16" s="490">
        <f>ROUND(1.05*J16,2)</f>
        <v>132.58000000000001</v>
      </c>
      <c r="N16" s="367"/>
      <c r="P16" s="471">
        <f>SUM(P13:P15)</f>
        <v>1757.8571159999999</v>
      </c>
      <c r="Q16" s="491">
        <f>565.76+1076.05+116.04</f>
        <v>1757.85</v>
      </c>
      <c r="R16" s="367">
        <f>ROUND(1.05*P16,2)</f>
        <v>1845.75</v>
      </c>
      <c r="S16" s="477">
        <f>M16+R16</f>
        <v>1978.33</v>
      </c>
      <c r="T16" s="488"/>
      <c r="U16" s="390">
        <v>1978.07</v>
      </c>
      <c r="V16" s="379"/>
      <c r="W16" s="20"/>
      <c r="X16" s="20"/>
      <c r="Y16" s="21"/>
      <c r="Z16" s="21"/>
      <c r="AA16" s="21"/>
      <c r="AB16" s="21"/>
      <c r="AC16" s="380"/>
      <c r="AD16" s="6"/>
      <c r="AE16" s="6"/>
      <c r="AF16" s="367"/>
      <c r="AG16" s="367"/>
      <c r="AH16" s="367"/>
    </row>
    <row r="17" spans="1:34">
      <c r="A17" s="682"/>
      <c r="B17" s="301"/>
      <c r="C17" s="492"/>
      <c r="D17" s="379"/>
      <c r="E17" s="475"/>
      <c r="F17" s="379"/>
      <c r="G17" s="379"/>
      <c r="H17" s="367"/>
      <c r="I17" s="367"/>
      <c r="J17" s="476"/>
      <c r="K17" s="367"/>
      <c r="L17" s="367"/>
      <c r="M17" s="367"/>
      <c r="N17" s="367"/>
      <c r="O17" s="367"/>
      <c r="P17" s="367"/>
      <c r="Q17" s="367"/>
      <c r="R17" s="367"/>
      <c r="S17" s="367"/>
      <c r="T17" s="488"/>
      <c r="U17" s="367"/>
      <c r="V17" s="379"/>
      <c r="W17" s="20"/>
      <c r="X17" s="20"/>
      <c r="Y17" s="21"/>
      <c r="Z17" s="21"/>
      <c r="AA17" s="21"/>
      <c r="AB17" s="21"/>
      <c r="AC17" s="380"/>
      <c r="AD17" s="6"/>
      <c r="AE17" s="6"/>
      <c r="AF17" s="367"/>
      <c r="AG17" s="367"/>
      <c r="AH17" s="367"/>
    </row>
    <row r="18" spans="1:34" ht="21" customHeight="1">
      <c r="A18" s="682"/>
      <c r="B18" s="493"/>
      <c r="C18" s="494" t="s">
        <v>627</v>
      </c>
      <c r="D18" s="495" t="s">
        <v>669</v>
      </c>
      <c r="E18" s="365">
        <f>26+30</f>
        <v>56</v>
      </c>
      <c r="F18" s="496">
        <v>1914</v>
      </c>
      <c r="G18" s="497">
        <v>2052</v>
      </c>
      <c r="H18" s="513">
        <f>G18-F18</f>
        <v>138</v>
      </c>
      <c r="I18" s="498">
        <v>127.13</v>
      </c>
      <c r="J18" s="499">
        <f>((127.13/365)*E18)</f>
        <v>19.504876712328766</v>
      </c>
      <c r="K18" s="500"/>
      <c r="L18" s="498">
        <v>0.05</v>
      </c>
      <c r="M18" s="507">
        <f>ROUND(1.05*J18,2)</f>
        <v>20.48</v>
      </c>
      <c r="N18" s="500"/>
      <c r="O18" s="501">
        <v>2.6373829999999998</v>
      </c>
      <c r="P18" s="502">
        <f>H18*2.637383</f>
        <v>363.95885399999997</v>
      </c>
      <c r="Q18" s="500"/>
      <c r="R18" s="500">
        <f>ROUND(1.05*P18,2)</f>
        <v>382.16</v>
      </c>
      <c r="S18" s="503">
        <f>M18+R18</f>
        <v>402.64000000000004</v>
      </c>
      <c r="T18" s="504">
        <f>S16+S18</f>
        <v>2380.9699999999998</v>
      </c>
      <c r="U18" s="470"/>
      <c r="V18" s="470"/>
      <c r="W18" s="20"/>
      <c r="X18" s="20"/>
      <c r="Y18" s="21"/>
      <c r="Z18" s="21"/>
      <c r="AA18" s="21"/>
      <c r="AB18" s="21"/>
      <c r="AC18" s="380" t="s">
        <v>630</v>
      </c>
      <c r="AD18" s="238">
        <f>2.637383*1.05</f>
        <v>2.7692521499999998</v>
      </c>
      <c r="AE18" s="6"/>
      <c r="AF18" s="367"/>
      <c r="AG18" s="367"/>
      <c r="AH18" s="367"/>
    </row>
    <row r="19" spans="1:34" ht="21" customHeight="1">
      <c r="A19" s="543"/>
      <c r="B19" s="227"/>
      <c r="C19" s="391"/>
      <c r="D19" s="260"/>
      <c r="E19" s="544"/>
      <c r="F19" s="363"/>
      <c r="G19" s="469"/>
      <c r="H19" s="545"/>
      <c r="I19" s="546"/>
      <c r="J19" s="547"/>
      <c r="K19" s="470"/>
      <c r="L19" s="546"/>
      <c r="M19" s="548"/>
      <c r="N19" s="470"/>
      <c r="O19" s="447"/>
      <c r="P19" s="549"/>
      <c r="Q19" s="470"/>
      <c r="R19" s="470"/>
      <c r="S19" s="550"/>
      <c r="T19" s="551"/>
      <c r="U19" s="470"/>
      <c r="V19" s="470"/>
      <c r="W19" s="20"/>
      <c r="X19" s="20"/>
      <c r="Y19" s="21"/>
      <c r="Z19" s="21"/>
      <c r="AA19" s="21"/>
      <c r="AB19" s="21"/>
      <c r="AC19" s="380"/>
      <c r="AD19" s="238"/>
      <c r="AE19" s="6"/>
      <c r="AF19" s="367"/>
      <c r="AG19" s="367"/>
      <c r="AH19" s="367"/>
    </row>
    <row r="20" spans="1:34" s="379" customFormat="1">
      <c r="A20" s="230"/>
      <c r="B20" s="230"/>
      <c r="C20" s="379" t="s">
        <v>688</v>
      </c>
      <c r="D20" s="552" t="s">
        <v>669</v>
      </c>
      <c r="E20" s="447">
        <v>88</v>
      </c>
      <c r="F20" s="447">
        <v>1914</v>
      </c>
      <c r="G20" s="367">
        <v>2052</v>
      </c>
      <c r="H20" s="367">
        <f>G20-F20</f>
        <v>138</v>
      </c>
      <c r="I20" s="367">
        <v>127.13</v>
      </c>
      <c r="J20" s="29">
        <f>((127.13/365)*E20)</f>
        <v>30.650520547945206</v>
      </c>
      <c r="K20" s="29"/>
      <c r="L20" s="29">
        <v>0.05</v>
      </c>
      <c r="M20" s="28">
        <f>ROUND(1.05*J20,2)</f>
        <v>32.18</v>
      </c>
      <c r="N20" s="28"/>
      <c r="O20" s="28">
        <v>2.6373829999999998</v>
      </c>
      <c r="P20" s="28">
        <f>H20*2.637383</f>
        <v>363.95885399999997</v>
      </c>
      <c r="Q20" s="28"/>
      <c r="R20" s="28">
        <f>ROUND(1.05*P20,2)</f>
        <v>382.16</v>
      </c>
      <c r="S20" s="553">
        <f>M20+R20</f>
        <v>414.34000000000003</v>
      </c>
      <c r="T20" s="553"/>
      <c r="U20" s="554"/>
      <c r="V20" s="232"/>
      <c r="W20" s="232"/>
      <c r="X20" s="232"/>
      <c r="Y20" s="231"/>
      <c r="Z20" s="231"/>
      <c r="AA20" s="231"/>
      <c r="AB20" s="231"/>
      <c r="AC20" s="399"/>
      <c r="AD20" s="230"/>
      <c r="AE20" s="230"/>
    </row>
    <row r="21" spans="1:34">
      <c r="A21" s="400"/>
      <c r="B21" s="369"/>
      <c r="J21" s="370"/>
      <c r="K21" s="370"/>
      <c r="L21" s="370"/>
      <c r="M21" s="369"/>
      <c r="N21" s="369"/>
      <c r="O21" s="369"/>
      <c r="P21" s="369"/>
      <c r="Q21" s="369"/>
      <c r="R21" s="402"/>
      <c r="S21" s="403"/>
      <c r="T21" s="403"/>
      <c r="U21" s="369"/>
      <c r="V21" s="369"/>
      <c r="W21" s="369"/>
      <c r="X21" s="369"/>
      <c r="Y21" s="369"/>
      <c r="Z21" s="369"/>
      <c r="AA21" s="369"/>
      <c r="AB21" s="369"/>
      <c r="AC21" s="369"/>
      <c r="AD21" s="404"/>
      <c r="AE21" s="372"/>
    </row>
    <row r="22" spans="1:34" ht="9.75" customHeight="1" thickBot="1">
      <c r="A22" s="369"/>
      <c r="B22" s="369"/>
      <c r="C22" s="369"/>
      <c r="D22" s="369"/>
      <c r="E22" s="370"/>
      <c r="F22" s="370"/>
      <c r="G22" s="369"/>
      <c r="H22" s="405"/>
      <c r="I22" s="405"/>
      <c r="J22" s="370"/>
      <c r="K22" s="370"/>
      <c r="L22" s="370"/>
      <c r="M22" s="369"/>
      <c r="N22" s="369"/>
      <c r="O22" s="369"/>
      <c r="P22" s="369"/>
      <c r="Q22" s="369"/>
      <c r="R22" s="402"/>
      <c r="S22" s="403"/>
      <c r="T22" s="403"/>
      <c r="U22" s="369"/>
      <c r="V22" s="369"/>
      <c r="W22" s="369"/>
      <c r="X22" s="369"/>
      <c r="Y22" s="369"/>
      <c r="Z22" s="369"/>
      <c r="AA22" s="369"/>
      <c r="AB22" s="369"/>
      <c r="AC22" s="369"/>
      <c r="AD22" s="369"/>
      <c r="AE22" s="369"/>
      <c r="AF22" s="372"/>
    </row>
    <row r="23" spans="1:34" ht="99" thickBot="1">
      <c r="A23" s="683" t="s">
        <v>665</v>
      </c>
      <c r="B23" s="345"/>
      <c r="C23" s="297"/>
      <c r="D23" s="297" t="s">
        <v>185</v>
      </c>
      <c r="E23" s="297" t="s">
        <v>186</v>
      </c>
      <c r="F23" s="297" t="s">
        <v>187</v>
      </c>
      <c r="G23" s="297" t="s">
        <v>188</v>
      </c>
      <c r="H23" s="297" t="s">
        <v>189</v>
      </c>
      <c r="I23" s="298" t="s">
        <v>651</v>
      </c>
      <c r="J23" s="297" t="s">
        <v>190</v>
      </c>
      <c r="K23" s="298" t="s">
        <v>660</v>
      </c>
      <c r="L23" s="298" t="s">
        <v>652</v>
      </c>
      <c r="M23" s="297" t="s">
        <v>655</v>
      </c>
      <c r="N23" s="298" t="s">
        <v>656</v>
      </c>
      <c r="O23" s="298" t="s">
        <v>661</v>
      </c>
      <c r="P23" s="297" t="s">
        <v>192</v>
      </c>
      <c r="Q23" s="298" t="s">
        <v>658</v>
      </c>
      <c r="R23" s="297" t="s">
        <v>193</v>
      </c>
      <c r="S23" s="297" t="s">
        <v>657</v>
      </c>
      <c r="T23" s="299" t="s">
        <v>654</v>
      </c>
      <c r="U23" s="296" t="s">
        <v>195</v>
      </c>
      <c r="V23" s="7" t="s">
        <v>196</v>
      </c>
      <c r="X23" s="7" t="s">
        <v>653</v>
      </c>
      <c r="Y23" s="57" t="s">
        <v>197</v>
      </c>
      <c r="Z23" s="7" t="s">
        <v>198</v>
      </c>
      <c r="AA23" s="7" t="s">
        <v>199</v>
      </c>
      <c r="AB23" s="7" t="s">
        <v>200</v>
      </c>
      <c r="AC23" s="6" t="s">
        <v>201</v>
      </c>
      <c r="AD23" s="372"/>
      <c r="AE23" s="372"/>
      <c r="AF23" s="372"/>
    </row>
    <row r="24" spans="1:34" ht="29" thickBot="1">
      <c r="A24" s="684"/>
      <c r="B24" s="168" t="s">
        <v>153</v>
      </c>
      <c r="C24" s="209" t="s">
        <v>302</v>
      </c>
      <c r="D24" s="261" t="s">
        <v>309</v>
      </c>
      <c r="E24" s="262">
        <v>360</v>
      </c>
      <c r="F24" s="406">
        <v>474.88799999999998</v>
      </c>
      <c r="G24" s="406">
        <v>943.21</v>
      </c>
      <c r="H24" s="407">
        <f>G24-F24</f>
        <v>468.32200000000006</v>
      </c>
      <c r="I24" s="408"/>
      <c r="J24" s="263">
        <f>((29.948/365)*E24)+((89.85/365)*E24)</f>
        <v>118.15693150684932</v>
      </c>
      <c r="K24" s="263"/>
      <c r="L24" s="263"/>
      <c r="M24" s="264">
        <f>ROUND(1.07*J24,2)</f>
        <v>126.43</v>
      </c>
      <c r="N24" s="264"/>
      <c r="O24" s="264"/>
      <c r="P24" s="264">
        <f>H24*2.485</f>
        <v>1163.78017</v>
      </c>
      <c r="Q24" s="264"/>
      <c r="R24" s="264">
        <f t="shared" ref="R24" si="2">ROUND(1.07*P24,2)</f>
        <v>1245.24</v>
      </c>
      <c r="S24" s="321">
        <f>M24+R24</f>
        <v>1371.67</v>
      </c>
      <c r="T24" s="300"/>
      <c r="U24" s="264"/>
      <c r="V24" s="265">
        <f>11*82</f>
        <v>902</v>
      </c>
      <c r="W24" s="215"/>
      <c r="X24" s="215"/>
      <c r="Y24" s="216"/>
      <c r="Z24" s="216"/>
      <c r="AA24" s="216"/>
      <c r="AB24" s="216"/>
      <c r="AC24" s="409">
        <f>R24/H24</f>
        <v>2.6589397892902742</v>
      </c>
      <c r="AD24" s="205" t="s">
        <v>283</v>
      </c>
      <c r="AE24" s="6"/>
      <c r="AF24" s="367"/>
      <c r="AG24" s="367"/>
      <c r="AH24" s="367"/>
    </row>
    <row r="25" spans="1:34">
      <c r="A25" s="684"/>
      <c r="B25" s="6"/>
      <c r="C25" s="226"/>
      <c r="D25" s="18"/>
      <c r="E25" s="6"/>
      <c r="F25" s="6"/>
      <c r="G25" s="19"/>
      <c r="H25" s="6">
        <f>G25-F25</f>
        <v>0</v>
      </c>
      <c r="I25" s="6"/>
      <c r="J25" s="19"/>
      <c r="K25" s="19"/>
      <c r="L25" s="19"/>
      <c r="M25" s="6"/>
      <c r="N25" s="19"/>
      <c r="O25" s="19"/>
      <c r="P25" s="6"/>
      <c r="Q25" s="6"/>
      <c r="R25" s="19"/>
      <c r="S25" s="6"/>
      <c r="T25" s="302"/>
      <c r="U25" s="19"/>
      <c r="V25" s="6"/>
      <c r="W25" s="6"/>
      <c r="X25" s="6"/>
      <c r="Y25" s="19"/>
      <c r="Z25" s="6"/>
      <c r="AA25" s="19"/>
      <c r="AB25" s="6"/>
      <c r="AC25" s="410"/>
      <c r="AD25" s="21"/>
      <c r="AE25" s="6"/>
      <c r="AF25" s="367"/>
      <c r="AG25" s="367"/>
      <c r="AH25" s="367"/>
    </row>
    <row r="26" spans="1:34">
      <c r="A26" s="684"/>
      <c r="B26" s="6"/>
      <c r="C26" s="226"/>
      <c r="D26" s="18"/>
      <c r="E26" s="6"/>
      <c r="F26" s="6"/>
      <c r="G26" s="19"/>
      <c r="H26" s="6">
        <f t="shared" ref="H26:H65" si="3">G26-F26</f>
        <v>0</v>
      </c>
      <c r="I26" s="6"/>
      <c r="J26" s="19"/>
      <c r="K26" s="19"/>
      <c r="L26" s="19"/>
      <c r="M26" s="6"/>
      <c r="N26" s="19"/>
      <c r="O26" s="19"/>
      <c r="P26" s="6"/>
      <c r="Q26" s="6"/>
      <c r="R26" s="19"/>
      <c r="S26" s="6"/>
      <c r="T26" s="302"/>
      <c r="U26" s="19"/>
      <c r="V26" s="6"/>
      <c r="W26" s="6"/>
      <c r="X26" s="6"/>
      <c r="Y26" s="19"/>
      <c r="Z26" s="6"/>
      <c r="AA26" s="19"/>
      <c r="AB26" s="6"/>
      <c r="AC26" s="410"/>
      <c r="AD26" s="21"/>
      <c r="AE26" s="6"/>
      <c r="AF26" s="367"/>
      <c r="AG26" s="367"/>
      <c r="AH26" s="367"/>
    </row>
    <row r="27" spans="1:34">
      <c r="A27" s="684"/>
      <c r="B27" s="6"/>
      <c r="C27" s="248" t="s">
        <v>643</v>
      </c>
      <c r="D27" s="18" t="s">
        <v>647</v>
      </c>
      <c r="E27" s="239">
        <v>51</v>
      </c>
      <c r="F27" s="6">
        <v>474</v>
      </c>
      <c r="G27" s="19">
        <v>542</v>
      </c>
      <c r="H27" s="14">
        <f>G27-F27</f>
        <v>68</v>
      </c>
      <c r="I27" s="271">
        <v>119.8</v>
      </c>
      <c r="J27" s="282">
        <f>((119.8/365)*E27)</f>
        <v>16.739178082191778</v>
      </c>
      <c r="K27" s="279">
        <v>16.739999999999998</v>
      </c>
      <c r="L27" s="272">
        <v>7.0000000000000007E-2</v>
      </c>
      <c r="M27" s="49">
        <f>ROUND(1.07*J27,2)</f>
        <v>17.91</v>
      </c>
      <c r="N27" s="51"/>
      <c r="O27" s="270">
        <v>2.4849999999999999</v>
      </c>
      <c r="P27" s="285">
        <f>H27*2.485</f>
        <v>168.98</v>
      </c>
      <c r="Q27" s="252"/>
      <c r="R27" s="285">
        <f>ROUND(1.07*P27,2)</f>
        <v>180.81</v>
      </c>
      <c r="S27" s="285">
        <f>J27+R27</f>
        <v>197.54917808219179</v>
      </c>
      <c r="T27" s="303"/>
      <c r="U27" s="252"/>
      <c r="V27" s="6"/>
      <c r="W27" s="6"/>
      <c r="X27" s="6"/>
      <c r="Y27" s="19"/>
      <c r="Z27" s="6"/>
      <c r="AA27" s="19"/>
      <c r="AB27" s="6"/>
      <c r="AC27" s="410"/>
      <c r="AD27" s="21"/>
      <c r="AE27" s="6"/>
      <c r="AF27" s="367"/>
      <c r="AG27" s="367"/>
      <c r="AH27" s="367"/>
    </row>
    <row r="28" spans="1:34">
      <c r="A28" s="684"/>
      <c r="B28" s="6"/>
      <c r="C28" s="247"/>
      <c r="D28" s="18" t="s">
        <v>648</v>
      </c>
      <c r="E28" s="276">
        <v>224</v>
      </c>
      <c r="F28" s="6">
        <v>542</v>
      </c>
      <c r="G28" s="19">
        <v>841</v>
      </c>
      <c r="H28" s="186">
        <f>G28-F28</f>
        <v>299</v>
      </c>
      <c r="I28" s="271">
        <v>123.4</v>
      </c>
      <c r="J28" s="283">
        <f t="shared" ref="J28:J40" si="4">((119.8/365)*E28)</f>
        <v>73.521095890410948</v>
      </c>
      <c r="K28" s="280">
        <v>75.73</v>
      </c>
      <c r="L28" s="272">
        <v>7.0000000000000007E-2</v>
      </c>
      <c r="M28" s="49">
        <f>ROUND(1.07*J28,2)</f>
        <v>78.67</v>
      </c>
      <c r="N28" s="51"/>
      <c r="O28" s="270">
        <v>2.56</v>
      </c>
      <c r="P28" s="286">
        <f>H28*2.56</f>
        <v>765.44</v>
      </c>
      <c r="Q28" s="252"/>
      <c r="R28" s="286">
        <f>ROUND(1.07*P28,2)</f>
        <v>819.02</v>
      </c>
      <c r="S28" s="286">
        <f>J28+R28</f>
        <v>892.54109589041093</v>
      </c>
      <c r="T28" s="303"/>
      <c r="U28" s="252"/>
      <c r="V28" s="6"/>
      <c r="W28" s="6"/>
      <c r="X28" s="6"/>
      <c r="Y28" s="19"/>
      <c r="Z28" s="6"/>
      <c r="AA28" s="19"/>
      <c r="AB28" s="6"/>
      <c r="AC28" s="410"/>
      <c r="AD28" s="21"/>
      <c r="AE28" s="6"/>
      <c r="AF28" s="367"/>
      <c r="AG28" s="367"/>
      <c r="AH28" s="367"/>
    </row>
    <row r="29" spans="1:34">
      <c r="A29" s="684"/>
      <c r="B29" s="6"/>
      <c r="C29" s="247"/>
      <c r="D29" s="18" t="s">
        <v>649</v>
      </c>
      <c r="E29" s="80">
        <v>22</v>
      </c>
      <c r="F29" s="6">
        <v>841</v>
      </c>
      <c r="G29" s="19">
        <v>870</v>
      </c>
      <c r="H29" s="278">
        <f>G29-F29</f>
        <v>29</v>
      </c>
      <c r="I29" s="271">
        <v>123.4</v>
      </c>
      <c r="J29" s="284">
        <f t="shared" si="4"/>
        <v>7.2208219178082187</v>
      </c>
      <c r="K29" s="281">
        <v>7.44</v>
      </c>
      <c r="L29" s="272">
        <v>7.0000000000000007E-2</v>
      </c>
      <c r="M29" s="49">
        <f>ROUND(1.07*J29,2)</f>
        <v>7.73</v>
      </c>
      <c r="N29" s="51"/>
      <c r="O29" s="270">
        <v>2.56</v>
      </c>
      <c r="P29" s="287">
        <f>H29*2.56</f>
        <v>74.239999999999995</v>
      </c>
      <c r="Q29" s="252"/>
      <c r="R29" s="287">
        <f>ROUND(1.07*P29,2)</f>
        <v>79.44</v>
      </c>
      <c r="S29" s="287">
        <f>J29+R29</f>
        <v>86.660821917808221</v>
      </c>
      <c r="T29" s="303"/>
      <c r="V29" s="6"/>
      <c r="W29" s="6"/>
      <c r="X29" s="6"/>
      <c r="Y29" s="19"/>
      <c r="Z29" s="6"/>
      <c r="AA29" s="19"/>
      <c r="AB29" s="6"/>
      <c r="AC29" s="410"/>
      <c r="AD29" s="21"/>
      <c r="AE29" s="6"/>
      <c r="AF29" s="367"/>
      <c r="AG29" s="367"/>
      <c r="AH29" s="367"/>
    </row>
    <row r="30" spans="1:34">
      <c r="A30" s="684"/>
      <c r="B30" s="6"/>
      <c r="C30" s="247"/>
      <c r="D30" s="50"/>
      <c r="E30" s="275">
        <f>SUM(E27:E29)</f>
        <v>297</v>
      </c>
      <c r="F30" s="6"/>
      <c r="G30" s="19"/>
      <c r="H30" s="277">
        <f>SUM(H27:H29)</f>
        <v>396</v>
      </c>
      <c r="I30" s="6"/>
      <c r="J30" s="273">
        <f>SUM(J27:J29)</f>
        <v>97.481095890410955</v>
      </c>
      <c r="K30" s="295">
        <f>SUM(K27:K29)</f>
        <v>99.91</v>
      </c>
      <c r="L30" s="19"/>
      <c r="M30" s="6">
        <f>ROUND(1.07*J30,2)</f>
        <v>104.3</v>
      </c>
      <c r="N30" s="233"/>
      <c r="O30" s="268"/>
      <c r="P30" s="235">
        <f>SUM(P27:P29)</f>
        <v>1008.6600000000001</v>
      </c>
      <c r="Q30" s="233"/>
      <c r="R30" s="235">
        <f>SUM(R27:R29)</f>
        <v>1079.27</v>
      </c>
      <c r="S30" s="235">
        <f>R30+M30</f>
        <v>1183.57</v>
      </c>
      <c r="T30" s="304"/>
      <c r="U30" s="257">
        <v>1186.17</v>
      </c>
      <c r="V30" s="6"/>
      <c r="W30" s="6"/>
      <c r="X30" s="6"/>
      <c r="Y30" s="19"/>
      <c r="Z30" s="6"/>
      <c r="AA30" s="19"/>
      <c r="AB30" s="6"/>
      <c r="AC30" s="410"/>
      <c r="AD30" s="21"/>
      <c r="AE30" s="6"/>
      <c r="AF30" s="367"/>
      <c r="AG30" s="367"/>
      <c r="AH30" s="367"/>
    </row>
    <row r="31" spans="1:34">
      <c r="A31" s="684"/>
      <c r="B31" s="6"/>
      <c r="C31" s="288" t="s">
        <v>631</v>
      </c>
      <c r="D31" s="249" t="s">
        <v>650</v>
      </c>
      <c r="E31" s="250">
        <f>26+31+16</f>
        <v>73</v>
      </c>
      <c r="F31" s="250">
        <v>870</v>
      </c>
      <c r="G31" s="251">
        <v>943</v>
      </c>
      <c r="H31" s="250">
        <f t="shared" ref="H31:H37" si="5">G31-F31</f>
        <v>73</v>
      </c>
      <c r="I31" s="49">
        <v>123.4</v>
      </c>
      <c r="J31" s="268">
        <f t="shared" si="4"/>
        <v>23.959999999999997</v>
      </c>
      <c r="K31" s="268"/>
      <c r="L31" s="266">
        <v>7.0000000000000007E-2</v>
      </c>
      <c r="M31" s="250">
        <f>ROUND(1.07*J31,2)</f>
        <v>25.64</v>
      </c>
      <c r="N31" s="251"/>
      <c r="O31" s="269">
        <v>2.56</v>
      </c>
      <c r="P31" s="253">
        <f>H31*2.56</f>
        <v>186.88</v>
      </c>
      <c r="Q31" s="253"/>
      <c r="R31" s="253">
        <f>ROUND(1.07*P31,2)</f>
        <v>199.96</v>
      </c>
      <c r="S31" s="253">
        <f>J31+R31</f>
        <v>223.92000000000002</v>
      </c>
      <c r="T31" s="305"/>
      <c r="U31" s="252"/>
      <c r="V31" s="6"/>
      <c r="W31" s="6"/>
      <c r="X31" s="6"/>
      <c r="Y31" s="19"/>
      <c r="Z31" s="6"/>
      <c r="AA31" s="19"/>
      <c r="AB31" s="6"/>
      <c r="AC31" s="410"/>
      <c r="AD31" s="21"/>
      <c r="AE31" s="6"/>
      <c r="AF31" s="367"/>
      <c r="AG31" s="367"/>
      <c r="AH31" s="367"/>
    </row>
    <row r="32" spans="1:34">
      <c r="A32" s="684"/>
      <c r="B32" s="6"/>
      <c r="C32" s="247"/>
      <c r="D32" s="50"/>
      <c r="E32" s="49"/>
      <c r="F32" s="49"/>
      <c r="G32" s="51"/>
      <c r="H32" s="49">
        <f t="shared" si="5"/>
        <v>0</v>
      </c>
      <c r="I32" s="49"/>
      <c r="J32" s="268"/>
      <c r="K32" s="268"/>
      <c r="L32" s="51"/>
      <c r="M32" s="49"/>
      <c r="N32" s="51"/>
      <c r="O32" s="268"/>
      <c r="P32" s="252"/>
      <c r="Q32" s="252"/>
      <c r="R32" s="252"/>
      <c r="S32" s="252"/>
      <c r="T32" s="303"/>
      <c r="U32" s="252"/>
      <c r="V32" s="6"/>
      <c r="W32" s="6"/>
      <c r="X32" s="6"/>
      <c r="Y32" s="19"/>
      <c r="Z32" s="6"/>
      <c r="AA32" s="19"/>
      <c r="AB32" s="6"/>
      <c r="AC32" s="410"/>
      <c r="AD32" s="21"/>
      <c r="AE32" s="6"/>
      <c r="AF32" s="367"/>
      <c r="AG32" s="367"/>
      <c r="AH32" s="367"/>
    </row>
    <row r="33" spans="1:34">
      <c r="A33" s="684"/>
      <c r="B33" s="6"/>
      <c r="C33" s="247"/>
      <c r="D33" s="50"/>
      <c r="E33" s="49"/>
      <c r="F33" s="49"/>
      <c r="G33" s="51"/>
      <c r="H33" s="49">
        <f t="shared" si="5"/>
        <v>0</v>
      </c>
      <c r="I33" s="49"/>
      <c r="J33" s="268"/>
      <c r="K33" s="268"/>
      <c r="L33" s="51"/>
      <c r="M33" s="49"/>
      <c r="N33" s="51"/>
      <c r="O33" s="268"/>
      <c r="P33" s="252"/>
      <c r="Q33" s="252"/>
      <c r="R33" s="252"/>
      <c r="S33" s="252"/>
      <c r="T33" s="303"/>
      <c r="U33" s="252"/>
      <c r="V33" s="6"/>
      <c r="W33" s="6"/>
      <c r="X33" s="6"/>
      <c r="Y33" s="19"/>
      <c r="Z33" s="6"/>
      <c r="AA33" s="19"/>
      <c r="AB33" s="6"/>
      <c r="AC33" s="410"/>
      <c r="AD33" s="21"/>
      <c r="AE33" s="6"/>
      <c r="AF33" s="367"/>
      <c r="AG33" s="367"/>
      <c r="AH33" s="367"/>
    </row>
    <row r="34" spans="1:34">
      <c r="A34" s="684"/>
      <c r="B34" s="346"/>
      <c r="C34" s="306" t="s">
        <v>662</v>
      </c>
      <c r="D34" s="307" t="s">
        <v>650</v>
      </c>
      <c r="E34" s="308">
        <f>26+31+16</f>
        <v>73</v>
      </c>
      <c r="F34" s="309">
        <v>870</v>
      </c>
      <c r="G34" s="310">
        <v>943</v>
      </c>
      <c r="H34" s="308">
        <f t="shared" si="5"/>
        <v>73</v>
      </c>
      <c r="I34" s="311">
        <v>123.4</v>
      </c>
      <c r="J34" s="312">
        <f>((123.4/365)*E34)</f>
        <v>24.680000000000003</v>
      </c>
      <c r="K34" s="313"/>
      <c r="L34" s="314">
        <v>0.05</v>
      </c>
      <c r="M34" s="315">
        <f>ROUND(1.05*J34,2)</f>
        <v>25.91</v>
      </c>
      <c r="N34" s="316"/>
      <c r="O34" s="317">
        <v>2.56</v>
      </c>
      <c r="P34" s="318">
        <f>H34*2.56</f>
        <v>186.88</v>
      </c>
      <c r="Q34" s="318"/>
      <c r="R34" s="319">
        <f>ROUND(1.05*P34,2)</f>
        <v>196.22</v>
      </c>
      <c r="S34" s="319">
        <f>J34+R34</f>
        <v>220.9</v>
      </c>
      <c r="T34" s="320">
        <f>S34+S30</f>
        <v>1404.47</v>
      </c>
      <c r="U34" s="233"/>
      <c r="V34" s="6"/>
      <c r="W34" s="6"/>
      <c r="X34" s="6"/>
      <c r="Y34" s="19"/>
      <c r="Z34" s="6"/>
      <c r="AA34" s="19"/>
      <c r="AB34" s="6"/>
      <c r="AC34" s="410"/>
      <c r="AD34" s="21"/>
      <c r="AE34" s="6"/>
      <c r="AF34" s="367"/>
      <c r="AG34" s="367"/>
      <c r="AH34" s="367"/>
    </row>
    <row r="35" spans="1:34">
      <c r="A35" s="684"/>
      <c r="B35" s="347"/>
      <c r="C35" s="322"/>
      <c r="D35" s="323" t="s">
        <v>663</v>
      </c>
      <c r="E35" s="324">
        <f>119-E34</f>
        <v>46</v>
      </c>
      <c r="F35" s="325">
        <v>943</v>
      </c>
      <c r="G35" s="326">
        <v>1139</v>
      </c>
      <c r="H35" s="514">
        <f t="shared" ref="H35" si="6">G35-F35</f>
        <v>196</v>
      </c>
      <c r="I35" s="327">
        <v>123.4</v>
      </c>
      <c r="J35" s="328">
        <f>((123.4/365)*E35)</f>
        <v>15.551780821917809</v>
      </c>
      <c r="K35" s="329"/>
      <c r="L35" s="330">
        <v>0.05</v>
      </c>
      <c r="M35" s="508">
        <f t="shared" ref="M35:M37" si="7">ROUND(1.05*J35,2)</f>
        <v>16.329999999999998</v>
      </c>
      <c r="N35" s="331"/>
      <c r="O35" s="332">
        <v>2.56</v>
      </c>
      <c r="P35" s="333">
        <f>H35*2.56</f>
        <v>501.76</v>
      </c>
      <c r="Q35" s="333"/>
      <c r="R35" s="334">
        <f>ROUND(1.05*P35,2)</f>
        <v>526.85</v>
      </c>
      <c r="S35" s="334">
        <f>J35+R35</f>
        <v>542.40178082191778</v>
      </c>
      <c r="T35" s="335"/>
      <c r="U35" s="233"/>
      <c r="V35" s="6"/>
      <c r="W35" s="6"/>
      <c r="X35" s="6"/>
      <c r="Y35" s="19"/>
      <c r="Z35" s="6"/>
      <c r="AA35" s="19"/>
      <c r="AB35" s="6"/>
      <c r="AC35" s="410"/>
      <c r="AD35" s="21"/>
      <c r="AE35" s="6"/>
      <c r="AF35" s="367"/>
      <c r="AG35" s="367"/>
      <c r="AH35" s="367"/>
    </row>
    <row r="36" spans="1:34">
      <c r="A36" s="684"/>
      <c r="B36" s="6"/>
      <c r="C36" s="247"/>
      <c r="D36" s="18" t="s">
        <v>644</v>
      </c>
      <c r="E36" s="276">
        <v>223</v>
      </c>
      <c r="F36" s="255">
        <v>1139</v>
      </c>
      <c r="G36" s="256">
        <v>1636</v>
      </c>
      <c r="H36" s="515">
        <f t="shared" si="5"/>
        <v>497</v>
      </c>
      <c r="I36" s="271">
        <v>127.13</v>
      </c>
      <c r="J36" s="289">
        <f>((127.13/365)*E36)</f>
        <v>77.671205479452055</v>
      </c>
      <c r="K36" s="268"/>
      <c r="L36" s="272">
        <v>0.05</v>
      </c>
      <c r="M36" s="509">
        <f t="shared" si="7"/>
        <v>81.55</v>
      </c>
      <c r="N36" s="51"/>
      <c r="O36" s="270">
        <v>2.6373829999999998</v>
      </c>
      <c r="P36" s="254">
        <f>H36*2.637383</f>
        <v>1310.7793509999999</v>
      </c>
      <c r="Q36" s="254"/>
      <c r="R36" s="293">
        <f>ROUND(1.05*P36,2)</f>
        <v>1376.32</v>
      </c>
      <c r="S36" s="293">
        <f>J36+R36</f>
        <v>1453.991205479452</v>
      </c>
      <c r="T36" s="336"/>
      <c r="U36" s="233"/>
      <c r="V36" s="6"/>
      <c r="W36" s="6"/>
      <c r="X36" s="6"/>
      <c r="Y36" s="19"/>
      <c r="Z36" s="6"/>
      <c r="AA36" s="19"/>
      <c r="AB36" s="6"/>
      <c r="AC36" s="410"/>
      <c r="AD36" s="21"/>
      <c r="AE36" s="6"/>
      <c r="AF36" s="367"/>
      <c r="AG36" s="367"/>
      <c r="AH36" s="367"/>
    </row>
    <row r="37" spans="1:34">
      <c r="A37" s="684"/>
      <c r="B37" s="6"/>
      <c r="C37" s="247"/>
      <c r="D37" s="18" t="s">
        <v>645</v>
      </c>
      <c r="E37" s="80">
        <v>24</v>
      </c>
      <c r="F37" s="255">
        <v>1636</v>
      </c>
      <c r="G37" s="256">
        <v>1642</v>
      </c>
      <c r="H37" s="516">
        <f t="shared" si="5"/>
        <v>6</v>
      </c>
      <c r="I37" s="271">
        <v>127.13</v>
      </c>
      <c r="J37" s="290">
        <f>((127.13/365)*E37)</f>
        <v>8.3592328767123281</v>
      </c>
      <c r="K37" s="268"/>
      <c r="L37" s="272">
        <v>0.05</v>
      </c>
      <c r="M37" s="509">
        <f t="shared" si="7"/>
        <v>8.7799999999999994</v>
      </c>
      <c r="N37" s="51"/>
      <c r="O37" s="270">
        <v>2.6373829999999998</v>
      </c>
      <c r="P37" s="254">
        <f>H37*2.637383</f>
        <v>15.824297999999999</v>
      </c>
      <c r="Q37" s="254"/>
      <c r="R37" s="294">
        <f>ROUND(1.05*P37,2)</f>
        <v>16.62</v>
      </c>
      <c r="S37" s="294">
        <f>J37+R37</f>
        <v>24.979232876712331</v>
      </c>
      <c r="T37" s="336"/>
      <c r="U37" s="233"/>
      <c r="V37" s="6"/>
      <c r="W37" s="6"/>
      <c r="X37" s="6"/>
      <c r="Y37" s="19"/>
      <c r="Z37" s="6"/>
      <c r="AA37" s="19"/>
      <c r="AB37" s="6"/>
      <c r="AC37" s="410"/>
      <c r="AD37" s="21"/>
      <c r="AE37" s="6"/>
      <c r="AF37" s="367"/>
      <c r="AG37" s="367"/>
      <c r="AH37" s="367"/>
    </row>
    <row r="38" spans="1:34">
      <c r="A38" s="684"/>
      <c r="B38" s="6"/>
      <c r="C38" s="247"/>
      <c r="D38" s="18"/>
      <c r="E38" s="275">
        <f>SUM(E34:E37)</f>
        <v>366</v>
      </c>
      <c r="F38" s="6"/>
      <c r="G38" s="19"/>
      <c r="H38" s="275">
        <f>SUM(H34:H37)</f>
        <v>772</v>
      </c>
      <c r="I38" s="6"/>
      <c r="J38" s="273">
        <f>SUM(J34:J37)</f>
        <v>126.26221917808219</v>
      </c>
      <c r="K38" s="271">
        <f>40.23+77.46+15.82</f>
        <v>133.51</v>
      </c>
      <c r="L38" s="267"/>
      <c r="M38" s="275">
        <f>ROUND(1.05*J38,2)</f>
        <v>132.58000000000001</v>
      </c>
      <c r="N38" s="51"/>
      <c r="O38" s="274"/>
      <c r="P38" s="233">
        <f>SUM(P34:P37)</f>
        <v>2015.243649</v>
      </c>
      <c r="Q38" s="233"/>
      <c r="R38" s="235">
        <f>SUM(R34:R37)</f>
        <v>2116.0099999999998</v>
      </c>
      <c r="S38" s="235">
        <f>R38+M38</f>
        <v>2248.5899999999997</v>
      </c>
      <c r="T38" s="304"/>
      <c r="U38" s="257">
        <v>2248.33</v>
      </c>
      <c r="V38" s="6"/>
      <c r="W38" s="6"/>
      <c r="X38" s="6"/>
      <c r="Y38" s="19"/>
      <c r="Z38" s="6"/>
      <c r="AA38" s="19"/>
      <c r="AB38" s="6"/>
      <c r="AC38" s="410"/>
      <c r="AD38" s="21"/>
      <c r="AE38" s="6"/>
      <c r="AF38" s="367"/>
      <c r="AG38" s="367"/>
      <c r="AH38" s="367"/>
    </row>
    <row r="39" spans="1:34">
      <c r="A39" s="684"/>
      <c r="B39" s="346"/>
      <c r="C39" s="337" t="s">
        <v>631</v>
      </c>
      <c r="D39" s="338" t="s">
        <v>646</v>
      </c>
      <c r="E39" s="339">
        <f>27+31+20</f>
        <v>78</v>
      </c>
      <c r="F39" s="339">
        <v>1642</v>
      </c>
      <c r="G39" s="340">
        <v>1836.35</v>
      </c>
      <c r="H39" s="517">
        <f>G39-F39</f>
        <v>194.34999999999991</v>
      </c>
      <c r="I39" s="341">
        <v>127.13</v>
      </c>
      <c r="J39" s="313">
        <f>((127.13/365)*E39)</f>
        <v>27.167506849315068</v>
      </c>
      <c r="K39" s="313"/>
      <c r="L39" s="342">
        <v>0.05</v>
      </c>
      <c r="M39" s="510">
        <v>132.58000000000001</v>
      </c>
      <c r="N39" s="316"/>
      <c r="O39" s="343">
        <v>2.6373829999999998</v>
      </c>
      <c r="P39" s="341">
        <f>H39*2.637383</f>
        <v>512.57538604999968</v>
      </c>
      <c r="Q39" s="341"/>
      <c r="R39" s="341">
        <f>ROUND(1.05*P39,2)</f>
        <v>538.20000000000005</v>
      </c>
      <c r="S39" s="341">
        <f>J39+R39</f>
        <v>565.36750684931508</v>
      </c>
      <c r="T39" s="344">
        <f>S39+S35+S36+S37</f>
        <v>2586.7397260273974</v>
      </c>
      <c r="U39" s="252"/>
      <c r="V39" s="6"/>
      <c r="W39" s="6"/>
      <c r="X39" s="6"/>
      <c r="Y39" s="19"/>
      <c r="Z39" s="6"/>
      <c r="AA39" s="19"/>
      <c r="AB39" s="6"/>
      <c r="AC39" s="410"/>
      <c r="AD39" s="21"/>
      <c r="AE39" s="6"/>
      <c r="AF39" s="367"/>
      <c r="AG39" s="367"/>
      <c r="AH39" s="367"/>
    </row>
    <row r="40" spans="1:34">
      <c r="A40" s="6"/>
      <c r="B40" s="6"/>
      <c r="C40" s="247"/>
      <c r="D40" s="50"/>
      <c r="E40" s="49">
        <f>E36+E37+E39+E34</f>
        <v>398</v>
      </c>
      <c r="F40" s="49"/>
      <c r="G40" s="51"/>
      <c r="H40" s="49">
        <f t="shared" ref="H40" si="8">G40-F40</f>
        <v>0</v>
      </c>
      <c r="I40" s="49"/>
      <c r="J40" s="268">
        <f t="shared" si="4"/>
        <v>130.63123287671232</v>
      </c>
      <c r="K40" s="268"/>
      <c r="L40" s="266"/>
      <c r="M40" s="49"/>
      <c r="N40" s="51"/>
      <c r="O40" s="268"/>
      <c r="P40" s="49"/>
      <c r="Q40" s="49"/>
      <c r="R40" s="292">
        <f>SUM(R34:R37)</f>
        <v>2116.0099999999998</v>
      </c>
      <c r="S40" s="292">
        <f>SUM(S34:S37)</f>
        <v>2242.2722191780822</v>
      </c>
      <c r="T40" s="252"/>
      <c r="U40" s="51"/>
      <c r="V40" s="6"/>
      <c r="W40" s="6"/>
      <c r="X40" s="6"/>
      <c r="Y40" s="19"/>
      <c r="Z40" s="6"/>
      <c r="AA40" s="19"/>
      <c r="AB40" s="6"/>
      <c r="AC40" s="410"/>
      <c r="AD40" s="21"/>
      <c r="AE40" s="6"/>
      <c r="AF40" s="367"/>
      <c r="AG40" s="367"/>
      <c r="AH40" s="367"/>
    </row>
    <row r="41" spans="1:34">
      <c r="A41" s="227"/>
      <c r="B41" s="6"/>
      <c r="C41" s="226"/>
      <c r="D41" s="18"/>
      <c r="E41" s="6"/>
      <c r="F41" s="6"/>
      <c r="G41" s="19"/>
      <c r="H41" s="6"/>
      <c r="I41" s="6"/>
      <c r="J41" s="268"/>
      <c r="K41" s="268"/>
      <c r="L41" s="267"/>
      <c r="M41" s="6"/>
      <c r="N41" s="19"/>
      <c r="O41" s="268"/>
      <c r="P41" s="6"/>
      <c r="Q41" s="6"/>
      <c r="R41" s="19"/>
      <c r="S41" s="291" t="s">
        <v>664</v>
      </c>
      <c r="T41" s="6"/>
      <c r="U41" s="19"/>
      <c r="V41" s="6"/>
      <c r="W41" s="6"/>
      <c r="X41" s="6"/>
      <c r="Y41" s="19"/>
      <c r="Z41" s="6"/>
      <c r="AA41" s="19"/>
      <c r="AB41" s="6"/>
      <c r="AC41" s="410"/>
      <c r="AD41" s="21"/>
      <c r="AE41" s="6"/>
      <c r="AF41" s="367"/>
      <c r="AG41" s="367"/>
      <c r="AH41" s="367"/>
    </row>
    <row r="42" spans="1:34">
      <c r="A42" s="411"/>
      <c r="B42" s="6"/>
      <c r="C42" s="19"/>
      <c r="D42" s="6"/>
      <c r="E42" s="19"/>
      <c r="F42" s="6"/>
      <c r="G42" s="19"/>
      <c r="H42" s="6"/>
      <c r="I42" s="6"/>
      <c r="J42" s="268"/>
      <c r="K42" s="268"/>
      <c r="L42" s="267"/>
      <c r="M42" s="6"/>
      <c r="N42" s="19"/>
      <c r="O42" s="268"/>
      <c r="P42" s="6"/>
      <c r="Q42" s="6"/>
      <c r="R42" s="19"/>
      <c r="S42" s="6"/>
      <c r="T42" s="6"/>
      <c r="U42" s="19"/>
      <c r="V42" s="6"/>
      <c r="W42" s="6"/>
      <c r="X42" s="6"/>
      <c r="Y42" s="19"/>
      <c r="Z42" s="21"/>
      <c r="AA42" s="21"/>
      <c r="AB42" s="21"/>
      <c r="AC42" s="6"/>
      <c r="AD42" s="404"/>
      <c r="AE42" s="404"/>
      <c r="AF42" s="367"/>
      <c r="AG42" s="367"/>
      <c r="AH42" s="367"/>
    </row>
    <row r="43" spans="1:34">
      <c r="A43" s="411"/>
      <c r="B43" s="6"/>
      <c r="C43" s="19"/>
      <c r="D43" s="6"/>
      <c r="E43" s="19"/>
      <c r="F43" s="6"/>
      <c r="G43" s="19"/>
      <c r="H43" s="6"/>
      <c r="I43" s="6"/>
      <c r="J43" s="268"/>
      <c r="K43" s="268"/>
      <c r="L43" s="267"/>
      <c r="M43" s="6"/>
      <c r="N43" s="19"/>
      <c r="O43" s="268"/>
      <c r="P43" s="6"/>
      <c r="Q43" s="6"/>
      <c r="R43" s="19"/>
      <c r="S43" s="6"/>
      <c r="T43" s="6"/>
      <c r="U43" s="19"/>
      <c r="V43" s="6"/>
      <c r="W43" s="6"/>
      <c r="X43" s="6"/>
      <c r="Y43" s="19"/>
      <c r="Z43" s="21"/>
      <c r="AA43" s="21"/>
      <c r="AB43" s="21"/>
      <c r="AC43" s="6"/>
      <c r="AD43" s="404"/>
      <c r="AE43" s="404"/>
      <c r="AF43" s="367"/>
      <c r="AG43" s="367"/>
      <c r="AH43" s="367"/>
    </row>
    <row r="44" spans="1:34" ht="99" thickBot="1">
      <c r="A44" s="404"/>
      <c r="B44" s="244"/>
      <c r="C44" s="7"/>
      <c r="D44" s="7" t="s">
        <v>185</v>
      </c>
      <c r="E44" s="7" t="s">
        <v>186</v>
      </c>
      <c r="F44" s="7" t="s">
        <v>187</v>
      </c>
      <c r="G44" s="7" t="s">
        <v>188</v>
      </c>
      <c r="H44" s="7" t="s">
        <v>189</v>
      </c>
      <c r="I44" s="259" t="s">
        <v>651</v>
      </c>
      <c r="J44" s="7" t="s">
        <v>190</v>
      </c>
      <c r="K44" s="7"/>
      <c r="L44" s="7" t="s">
        <v>652</v>
      </c>
      <c r="M44" s="7" t="s">
        <v>655</v>
      </c>
      <c r="N44" s="259" t="s">
        <v>656</v>
      </c>
      <c r="O44" s="259"/>
      <c r="P44" s="7" t="s">
        <v>192</v>
      </c>
      <c r="Q44" s="259" t="s">
        <v>658</v>
      </c>
      <c r="R44" s="7" t="s">
        <v>193</v>
      </c>
      <c r="S44" s="7" t="s">
        <v>657</v>
      </c>
      <c r="T44" s="7"/>
      <c r="U44" s="8" t="s">
        <v>195</v>
      </c>
      <c r="V44" s="7" t="s">
        <v>196</v>
      </c>
      <c r="W44" s="7" t="s">
        <v>654</v>
      </c>
      <c r="X44" s="7" t="s">
        <v>653</v>
      </c>
      <c r="Y44" s="57" t="s">
        <v>197</v>
      </c>
      <c r="Z44" s="7" t="s">
        <v>198</v>
      </c>
      <c r="AA44" s="7" t="s">
        <v>199</v>
      </c>
      <c r="AB44" s="7" t="s">
        <v>200</v>
      </c>
      <c r="AC44" s="6" t="s">
        <v>201</v>
      </c>
      <c r="AD44" s="404" t="s">
        <v>281</v>
      </c>
      <c r="AE44" s="372" t="s">
        <v>316</v>
      </c>
      <c r="AF44" s="367"/>
      <c r="AG44" s="367"/>
      <c r="AH44" s="367"/>
    </row>
    <row r="45" spans="1:34" ht="39" customHeight="1" thickBot="1">
      <c r="A45" s="683" t="s">
        <v>642</v>
      </c>
      <c r="B45" s="412" t="s">
        <v>204</v>
      </c>
      <c r="C45" s="209" t="s">
        <v>302</v>
      </c>
      <c r="D45" s="413" t="s">
        <v>313</v>
      </c>
      <c r="E45" s="414">
        <v>355</v>
      </c>
      <c r="F45" s="415">
        <v>15</v>
      </c>
      <c r="G45" s="416">
        <v>18.5</v>
      </c>
      <c r="H45" s="168">
        <f t="shared" si="3"/>
        <v>3.5</v>
      </c>
      <c r="I45" s="168"/>
      <c r="J45" s="415">
        <f>((29.948/365)*E45)+((89.85/365)*E45)</f>
        <v>116.51586301369863</v>
      </c>
      <c r="K45" s="415"/>
      <c r="L45" s="415"/>
      <c r="M45" s="416">
        <f>ROUND(1.07*J45,2)</f>
        <v>124.67</v>
      </c>
      <c r="N45" s="416"/>
      <c r="O45" s="416"/>
      <c r="P45" s="416">
        <f>H45*2.485</f>
        <v>8.6974999999999998</v>
      </c>
      <c r="Q45" s="416"/>
      <c r="R45" s="416">
        <f t="shared" ref="R45" si="9">ROUND(1.07*P45,2)</f>
        <v>9.31</v>
      </c>
      <c r="S45" s="417">
        <f>M45+R45</f>
        <v>133.97999999999999</v>
      </c>
      <c r="T45" s="417"/>
      <c r="U45" s="416"/>
      <c r="V45" s="417">
        <f>7*10</f>
        <v>70</v>
      </c>
      <c r="W45" s="417"/>
      <c r="X45" s="417"/>
      <c r="Y45" s="416"/>
      <c r="Z45" s="416"/>
      <c r="AA45" s="416"/>
      <c r="AB45" s="416"/>
      <c r="AC45" s="416">
        <f>R45/H45</f>
        <v>2.66</v>
      </c>
      <c r="AD45" s="418" t="s">
        <v>283</v>
      </c>
      <c r="AE45" s="404"/>
      <c r="AF45" s="367"/>
      <c r="AG45" s="367"/>
      <c r="AH45" s="367"/>
    </row>
    <row r="46" spans="1:34" ht="16" thickBot="1">
      <c r="A46" s="684"/>
      <c r="B46" s="217" t="s">
        <v>204</v>
      </c>
      <c r="C46" s="183" t="s">
        <v>203</v>
      </c>
      <c r="D46" s="184"/>
      <c r="E46" s="183"/>
      <c r="F46" s="186"/>
      <c r="G46" s="187"/>
      <c r="H46" s="6">
        <f t="shared" si="3"/>
        <v>0</v>
      </c>
      <c r="I46" s="6"/>
      <c r="J46" s="188"/>
      <c r="K46" s="188"/>
      <c r="L46" s="188"/>
      <c r="M46" s="189"/>
      <c r="N46" s="189"/>
      <c r="O46" s="189"/>
      <c r="P46" s="190"/>
      <c r="Q46" s="190"/>
      <c r="R46" s="219"/>
      <c r="S46" s="192"/>
      <c r="T46" s="192"/>
      <c r="U46" s="208"/>
      <c r="V46" s="190"/>
      <c r="W46" s="190"/>
      <c r="X46" s="190"/>
      <c r="Y46" s="194"/>
      <c r="Z46" s="194"/>
      <c r="AA46" s="194"/>
      <c r="AB46" s="194"/>
      <c r="AC46" s="419">
        <v>2.4849999999999999</v>
      </c>
      <c r="AD46" s="404" t="s">
        <v>281</v>
      </c>
      <c r="AE46" s="372" t="s">
        <v>316</v>
      </c>
      <c r="AF46" s="367"/>
      <c r="AG46" s="367"/>
      <c r="AH46" s="367"/>
    </row>
    <row r="47" spans="1:34" ht="16" thickBot="1">
      <c r="A47" s="684"/>
      <c r="B47" s="369"/>
      <c r="C47" s="169" t="s">
        <v>205</v>
      </c>
      <c r="D47" s="369"/>
      <c r="E47" s="370"/>
      <c r="F47" s="370"/>
      <c r="G47" s="369"/>
      <c r="H47" s="6">
        <f t="shared" si="3"/>
        <v>0</v>
      </c>
      <c r="I47" s="6"/>
      <c r="J47" s="370"/>
      <c r="K47" s="370"/>
      <c r="L47" s="370"/>
      <c r="M47" s="170">
        <f>M45+M24+M4</f>
        <v>374.37</v>
      </c>
      <c r="N47" s="170"/>
      <c r="O47" s="170"/>
      <c r="P47" s="170"/>
      <c r="Q47" s="170"/>
      <c r="R47" s="170">
        <f>R45+R24+R4</f>
        <v>2507.42</v>
      </c>
      <c r="S47" s="224">
        <f>S45+S24+S4</f>
        <v>2881.79</v>
      </c>
      <c r="T47" s="224"/>
      <c r="U47" s="170" t="e">
        <f>U46+#REF!+U5</f>
        <v>#REF!</v>
      </c>
      <c r="V47" s="420">
        <f>V45+V24+V4</f>
        <v>3032</v>
      </c>
      <c r="W47" s="420"/>
      <c r="X47" s="420"/>
      <c r="Y47" s="369"/>
      <c r="Z47" s="369"/>
      <c r="AA47" s="369"/>
      <c r="AB47" s="369"/>
      <c r="AC47" s="369"/>
      <c r="AD47" s="369"/>
      <c r="AE47" s="369"/>
      <c r="AF47" s="372"/>
      <c r="AG47" s="372"/>
    </row>
    <row r="48" spans="1:34">
      <c r="A48" s="684"/>
      <c r="B48" s="369"/>
      <c r="C48" s="54"/>
      <c r="D48" s="369"/>
      <c r="E48" s="370"/>
      <c r="F48" s="370"/>
      <c r="G48" s="369"/>
      <c r="H48" s="6">
        <f t="shared" si="3"/>
        <v>0</v>
      </c>
      <c r="I48" s="6"/>
      <c r="J48" s="370"/>
      <c r="K48" s="370"/>
      <c r="L48" s="370"/>
      <c r="M48" s="369"/>
      <c r="N48" s="369"/>
      <c r="O48" s="369"/>
      <c r="P48" s="369"/>
      <c r="Q48" s="369"/>
      <c r="R48" s="369">
        <v>1867.4739104000005</v>
      </c>
      <c r="S48" s="371"/>
      <c r="T48" s="371"/>
      <c r="U48" s="55"/>
      <c r="V48" s="369"/>
      <c r="W48" s="369"/>
      <c r="X48" s="369"/>
      <c r="Y48" s="369"/>
      <c r="Z48" s="369"/>
      <c r="AA48" s="369"/>
      <c r="AB48" s="369"/>
      <c r="AC48" s="369"/>
      <c r="AD48" s="366"/>
      <c r="AE48" s="366"/>
      <c r="AF48" s="372"/>
      <c r="AG48" s="372"/>
    </row>
    <row r="49" spans="1:34">
      <c r="A49" s="684"/>
      <c r="B49" s="369"/>
      <c r="C49" s="369"/>
      <c r="D49" s="369"/>
      <c r="E49" s="370"/>
      <c r="F49" s="370"/>
      <c r="G49" s="369"/>
      <c r="H49" s="6">
        <f t="shared" si="3"/>
        <v>0</v>
      </c>
      <c r="I49" s="6"/>
      <c r="J49" s="370"/>
      <c r="K49" s="370"/>
      <c r="L49" s="370"/>
      <c r="M49" s="421"/>
      <c r="N49" s="421"/>
      <c r="O49" s="421"/>
      <c r="P49" s="369"/>
      <c r="Q49" s="369"/>
      <c r="R49" s="369">
        <v>106.19999999999975</v>
      </c>
      <c r="S49" s="371"/>
      <c r="T49" s="371"/>
      <c r="U49" s="369"/>
      <c r="V49" s="369"/>
      <c r="W49" s="369"/>
      <c r="X49" s="369"/>
      <c r="Y49" s="369"/>
      <c r="Z49" s="369"/>
      <c r="AA49" s="369"/>
      <c r="AB49" s="369"/>
      <c r="AC49" s="369"/>
      <c r="AD49" s="366"/>
      <c r="AE49" s="366"/>
      <c r="AF49" s="372"/>
      <c r="AG49" s="372"/>
    </row>
    <row r="50" spans="1:34">
      <c r="A50" s="684"/>
      <c r="B50" s="369"/>
      <c r="C50" s="369"/>
      <c r="D50" s="369"/>
      <c r="E50" s="370"/>
      <c r="F50" s="370"/>
      <c r="G50" s="369"/>
      <c r="H50" s="6">
        <f t="shared" si="3"/>
        <v>0</v>
      </c>
      <c r="I50" s="6"/>
      <c r="J50" s="370"/>
      <c r="K50" s="370"/>
      <c r="L50" s="370"/>
      <c r="M50" s="369"/>
      <c r="N50" s="369"/>
      <c r="O50" s="369"/>
      <c r="P50" s="369">
        <f>2.44*1.07</f>
        <v>2.6108000000000002</v>
      </c>
      <c r="Q50" s="369"/>
      <c r="R50" s="422">
        <f>SUM(R48:R49)</f>
        <v>1973.6739104000003</v>
      </c>
      <c r="S50" s="371"/>
      <c r="T50" s="371"/>
      <c r="U50" s="423">
        <v>2235.8639103999999</v>
      </c>
      <c r="V50" s="369"/>
      <c r="W50" s="369"/>
      <c r="X50" s="369"/>
      <c r="Y50" s="369"/>
      <c r="Z50" s="369"/>
      <c r="AA50" s="369"/>
      <c r="AB50" s="369"/>
      <c r="AC50" s="369"/>
      <c r="AD50" s="369"/>
      <c r="AE50" s="369"/>
      <c r="AF50" s="372"/>
      <c r="AG50" s="372"/>
    </row>
    <row r="51" spans="1:34">
      <c r="A51" s="684"/>
      <c r="B51" s="369"/>
      <c r="C51" s="369"/>
      <c r="D51" s="369"/>
      <c r="E51" s="370"/>
      <c r="F51" s="370"/>
      <c r="G51" s="369"/>
      <c r="H51" s="6"/>
      <c r="I51" s="6"/>
      <c r="J51" s="370"/>
      <c r="K51" s="370"/>
      <c r="L51" s="370"/>
      <c r="M51" s="369"/>
      <c r="N51" s="369"/>
      <c r="O51" s="369"/>
      <c r="P51" s="369"/>
      <c r="Q51" s="369"/>
      <c r="R51" s="422"/>
      <c r="S51" s="371"/>
      <c r="T51" s="371"/>
      <c r="U51" s="423"/>
      <c r="V51" s="369"/>
      <c r="W51" s="369"/>
      <c r="X51" s="369"/>
      <c r="Y51" s="369"/>
      <c r="Z51" s="369"/>
      <c r="AA51" s="369"/>
      <c r="AB51" s="369"/>
      <c r="AC51" s="369"/>
      <c r="AD51" s="369"/>
      <c r="AE51" s="369"/>
      <c r="AF51" s="372"/>
      <c r="AG51" s="372"/>
    </row>
    <row r="52" spans="1:34" ht="15">
      <c r="A52" s="684"/>
      <c r="B52" s="369"/>
      <c r="C52" s="424" t="s">
        <v>640</v>
      </c>
      <c r="D52" s="425" t="s">
        <v>638</v>
      </c>
      <c r="E52" s="426">
        <v>61</v>
      </c>
      <c r="F52" s="427">
        <v>15</v>
      </c>
      <c r="G52" s="427">
        <v>16</v>
      </c>
      <c r="H52" s="245">
        <f t="shared" ref="H52:H53" si="10">G52-F52</f>
        <v>1</v>
      </c>
      <c r="I52" s="258"/>
      <c r="J52" s="428">
        <f>((44.92/365)*E52)</f>
        <v>7.5071780821917811</v>
      </c>
      <c r="K52" s="428"/>
      <c r="L52" s="428"/>
      <c r="M52" s="429"/>
      <c r="N52" s="429"/>
      <c r="O52" s="429"/>
      <c r="P52" s="429">
        <f>H52*2.485</f>
        <v>2.4849999999999999</v>
      </c>
      <c r="Q52" s="429"/>
      <c r="R52" s="430">
        <f>ROUND(1.05*P52,2)</f>
        <v>2.61</v>
      </c>
      <c r="S52" s="431">
        <f>J52+R52</f>
        <v>10.117178082191781</v>
      </c>
      <c r="T52" s="431"/>
      <c r="U52" s="432"/>
      <c r="V52" s="369"/>
      <c r="W52" s="369"/>
      <c r="X52" s="369"/>
      <c r="Y52" s="369"/>
      <c r="Z52" s="369"/>
      <c r="AA52" s="369"/>
      <c r="AB52" s="369"/>
      <c r="AC52" s="369"/>
      <c r="AD52" s="369"/>
      <c r="AE52" s="369"/>
      <c r="AF52" s="372"/>
      <c r="AG52" s="372"/>
    </row>
    <row r="53" spans="1:34" ht="16" thickBot="1">
      <c r="A53" s="684"/>
      <c r="B53" s="369"/>
      <c r="C53" s="433"/>
      <c r="D53" s="366" t="s">
        <v>639</v>
      </c>
      <c r="E53" s="434">
        <v>304</v>
      </c>
      <c r="F53" s="370">
        <v>16</v>
      </c>
      <c r="G53" s="370">
        <v>18</v>
      </c>
      <c r="H53" s="243">
        <f t="shared" si="10"/>
        <v>2</v>
      </c>
      <c r="I53" s="6"/>
      <c r="J53" s="404">
        <f>((46.27/365)*E53)</f>
        <v>38.537205479452055</v>
      </c>
      <c r="K53" s="404"/>
      <c r="L53" s="404"/>
      <c r="M53" s="369"/>
      <c r="N53" s="369"/>
      <c r="O53" s="369"/>
      <c r="P53" s="369">
        <f>H53*2.56</f>
        <v>5.12</v>
      </c>
      <c r="Q53" s="369"/>
      <c r="R53" s="435">
        <f>ROUND(1.05*P53,2)</f>
        <v>5.38</v>
      </c>
      <c r="S53" s="420">
        <f>J53+R53</f>
        <v>43.917205479452058</v>
      </c>
      <c r="T53" s="420"/>
      <c r="U53" s="436"/>
      <c r="V53" s="369"/>
      <c r="W53" s="369"/>
      <c r="X53" s="369"/>
      <c r="Y53" s="369"/>
      <c r="Z53" s="369"/>
      <c r="AA53" s="369"/>
      <c r="AB53" s="369"/>
      <c r="AC53" s="369"/>
      <c r="AD53" s="369"/>
      <c r="AE53" s="369"/>
      <c r="AF53" s="372"/>
      <c r="AG53" s="372"/>
    </row>
    <row r="54" spans="1:34" ht="15" thickBot="1">
      <c r="A54" s="684"/>
      <c r="B54" s="369"/>
      <c r="C54" s="437"/>
      <c r="D54" s="369"/>
      <c r="E54" s="438">
        <f>SUM(E52:E53)</f>
        <v>365</v>
      </c>
      <c r="F54" s="370"/>
      <c r="G54" s="369"/>
      <c r="H54" s="240">
        <f>SUM(H52:H53)</f>
        <v>3</v>
      </c>
      <c r="I54" s="6"/>
      <c r="J54" s="382">
        <f>SUM(J52:J53)</f>
        <v>46.044383561643834</v>
      </c>
      <c r="K54" s="382"/>
      <c r="L54" s="382"/>
      <c r="M54" s="439">
        <f>ROUND(1.07*J54,2)</f>
        <v>49.27</v>
      </c>
      <c r="N54" s="369"/>
      <c r="O54" s="369"/>
      <c r="P54" s="369">
        <f>SUM(P52:P53)</f>
        <v>7.6050000000000004</v>
      </c>
      <c r="Q54" s="369"/>
      <c r="R54" s="440">
        <f>SUM(R52:R53)</f>
        <v>7.99</v>
      </c>
      <c r="S54" s="440">
        <f>R54+M54</f>
        <v>57.260000000000005</v>
      </c>
      <c r="T54" s="435"/>
      <c r="U54" s="441">
        <v>57.42</v>
      </c>
      <c r="V54" s="369"/>
      <c r="W54" s="369"/>
      <c r="X54" s="369"/>
      <c r="Y54" s="369"/>
      <c r="Z54" s="369"/>
      <c r="AA54" s="369"/>
      <c r="AB54" s="369"/>
      <c r="AC54" s="369"/>
      <c r="AD54" s="369"/>
      <c r="AE54" s="369"/>
      <c r="AF54" s="372"/>
      <c r="AG54" s="372"/>
    </row>
    <row r="55" spans="1:34">
      <c r="A55" s="684"/>
      <c r="B55" s="369"/>
      <c r="C55" s="437"/>
      <c r="D55" s="369"/>
      <c r="E55" s="370"/>
      <c r="F55" s="370"/>
      <c r="G55" s="369"/>
      <c r="H55" s="6">
        <f t="shared" ref="H55:H56" si="11">G55-F55</f>
        <v>0</v>
      </c>
      <c r="I55" s="6"/>
      <c r="J55" s="370"/>
      <c r="K55" s="370"/>
      <c r="L55" s="370"/>
      <c r="M55" s="369"/>
      <c r="N55" s="369"/>
      <c r="O55" s="369"/>
      <c r="P55" s="369"/>
      <c r="Q55" s="369"/>
      <c r="R55" s="435"/>
      <c r="S55" s="420"/>
      <c r="T55" s="420"/>
      <c r="U55" s="436"/>
      <c r="V55" s="369"/>
      <c r="W55" s="369"/>
      <c r="X55" s="369"/>
      <c r="Y55" s="369"/>
      <c r="Z55" s="369"/>
      <c r="AA55" s="369"/>
      <c r="AB55" s="369"/>
      <c r="AC55" s="369"/>
      <c r="AD55" s="369"/>
      <c r="AE55" s="369"/>
      <c r="AF55" s="372"/>
      <c r="AG55" s="372"/>
    </row>
    <row r="56" spans="1:34">
      <c r="A56" s="684"/>
      <c r="B56" s="369"/>
      <c r="C56" s="437"/>
      <c r="D56" s="369"/>
      <c r="E56" s="370"/>
      <c r="F56" s="370"/>
      <c r="G56" s="369"/>
      <c r="H56" s="6">
        <f t="shared" si="11"/>
        <v>0</v>
      </c>
      <c r="I56" s="6"/>
      <c r="J56" s="370"/>
      <c r="K56" s="370"/>
      <c r="L56" s="370"/>
      <c r="M56" s="369"/>
      <c r="N56" s="369"/>
      <c r="O56" s="369"/>
      <c r="P56" s="369"/>
      <c r="Q56" s="369"/>
      <c r="R56" s="369"/>
      <c r="S56" s="420">
        <f>SUM(S52:S53)</f>
        <v>54.034383561643835</v>
      </c>
      <c r="T56" s="420"/>
      <c r="U56" s="442"/>
      <c r="V56" s="369"/>
      <c r="W56" s="369"/>
      <c r="X56" s="369"/>
      <c r="Y56" s="369"/>
      <c r="Z56" s="369"/>
      <c r="AA56" s="369"/>
      <c r="AB56" s="369"/>
      <c r="AC56" s="369"/>
      <c r="AD56" s="369"/>
      <c r="AE56" s="369"/>
      <c r="AF56" s="372"/>
      <c r="AG56" s="372"/>
    </row>
    <row r="57" spans="1:34">
      <c r="A57" s="684"/>
      <c r="C57" s="443"/>
      <c r="H57" s="6">
        <f t="shared" si="3"/>
        <v>0</v>
      </c>
      <c r="I57" s="6"/>
      <c r="U57" s="444"/>
      <c r="Z57" s="366"/>
      <c r="AA57" s="366"/>
      <c r="AB57" s="366"/>
      <c r="AC57" s="366"/>
      <c r="AD57" s="366"/>
      <c r="AE57" s="366"/>
      <c r="AF57" s="367"/>
      <c r="AG57" s="367"/>
      <c r="AH57" s="367"/>
    </row>
    <row r="58" spans="1:34" ht="15" thickBot="1">
      <c r="A58" s="684"/>
      <c r="C58" s="443"/>
      <c r="H58" s="6">
        <f t="shared" si="3"/>
        <v>0</v>
      </c>
      <c r="I58" s="6"/>
      <c r="U58" s="444"/>
      <c r="Z58" s="366"/>
      <c r="AA58" s="366"/>
      <c r="AB58" s="366"/>
      <c r="AC58" s="366"/>
      <c r="AD58" s="366"/>
      <c r="AE58" s="366"/>
      <c r="AF58" s="367"/>
      <c r="AG58" s="367"/>
      <c r="AH58" s="367"/>
    </row>
    <row r="59" spans="1:34" s="367" customFormat="1">
      <c r="A59" s="684"/>
      <c r="C59" s="445" t="s">
        <v>632</v>
      </c>
      <c r="D59" s="367" t="s">
        <v>633</v>
      </c>
      <c r="E59" s="446">
        <v>61</v>
      </c>
      <c r="F59" s="447">
        <v>18</v>
      </c>
      <c r="G59" s="447">
        <v>19</v>
      </c>
      <c r="H59" s="241">
        <f t="shared" si="3"/>
        <v>1</v>
      </c>
      <c r="I59" s="6"/>
      <c r="J59" s="448">
        <f>((46.27/365)*E59)</f>
        <v>7.7327945205479454</v>
      </c>
      <c r="K59" s="448"/>
      <c r="L59" s="448"/>
      <c r="P59" s="448">
        <f>H59*2.56</f>
        <v>2.56</v>
      </c>
      <c r="Q59" s="448"/>
      <c r="R59" s="448">
        <f>ROUND(1.05*P59,2)</f>
        <v>2.69</v>
      </c>
      <c r="S59" s="448">
        <f>J59+R59</f>
        <v>10.422794520547946</v>
      </c>
      <c r="T59" s="448"/>
      <c r="U59" s="449"/>
      <c r="Z59" s="366"/>
      <c r="AA59" s="366"/>
      <c r="AB59" s="366"/>
      <c r="AC59" s="366"/>
      <c r="AD59" s="366"/>
      <c r="AE59" s="366"/>
    </row>
    <row r="60" spans="1:34" s="367" customFormat="1">
      <c r="A60" s="684"/>
      <c r="C60" s="445"/>
      <c r="D60" s="367" t="s">
        <v>634</v>
      </c>
      <c r="E60" s="450">
        <v>181</v>
      </c>
      <c r="F60" s="447">
        <v>19</v>
      </c>
      <c r="G60" s="447">
        <v>23</v>
      </c>
      <c r="H60" s="242">
        <f t="shared" si="3"/>
        <v>4</v>
      </c>
      <c r="I60" s="6"/>
      <c r="J60" s="448">
        <f>((47.67/365)*E60)</f>
        <v>23.63909589041096</v>
      </c>
      <c r="K60" s="448"/>
      <c r="L60" s="448"/>
      <c r="P60" s="448">
        <f>H60*2.637383</f>
        <v>10.549531999999999</v>
      </c>
      <c r="Q60" s="448"/>
      <c r="R60" s="448">
        <f>ROUND(1.05*P60,2)</f>
        <v>11.08</v>
      </c>
      <c r="S60" s="448">
        <f>J60+R60</f>
        <v>34.719095890410962</v>
      </c>
      <c r="T60" s="448"/>
      <c r="U60" s="449"/>
      <c r="AD60" s="366"/>
      <c r="AE60" s="366"/>
    </row>
    <row r="61" spans="1:34" s="367" customFormat="1" ht="15" thickBot="1">
      <c r="A61" s="684"/>
      <c r="C61" s="445"/>
      <c r="D61" s="367" t="s">
        <v>635</v>
      </c>
      <c r="E61" s="451">
        <v>124</v>
      </c>
      <c r="F61" s="447">
        <v>1</v>
      </c>
      <c r="G61" s="447">
        <v>4</v>
      </c>
      <c r="H61" s="243">
        <f t="shared" si="3"/>
        <v>3</v>
      </c>
      <c r="I61" s="6"/>
      <c r="J61" s="452">
        <f>((47.67/365)*E61)</f>
        <v>16.194739726027397</v>
      </c>
      <c r="K61" s="452"/>
      <c r="L61" s="452"/>
      <c r="P61" s="448">
        <f>H61*2.637383</f>
        <v>7.9121489999999994</v>
      </c>
      <c r="Q61" s="448"/>
      <c r="R61" s="448">
        <f>ROUND(1.05*P61,2)</f>
        <v>8.31</v>
      </c>
      <c r="S61" s="448">
        <f>J61+R61</f>
        <v>24.504739726027395</v>
      </c>
      <c r="T61" s="448"/>
      <c r="U61" s="449"/>
      <c r="AD61" s="366"/>
      <c r="AE61" s="366"/>
    </row>
    <row r="62" spans="1:34" ht="15" thickBot="1">
      <c r="A62" s="684"/>
      <c r="C62" s="443"/>
      <c r="E62" s="453">
        <f>SUM(E59:E61)</f>
        <v>366</v>
      </c>
      <c r="H62" s="518">
        <f>SUM(H59:H61)</f>
        <v>8</v>
      </c>
      <c r="I62" s="6"/>
      <c r="J62" s="454">
        <f>SUM(J59:J61)</f>
        <v>47.566630136986305</v>
      </c>
      <c r="K62" s="454"/>
      <c r="L62" s="454"/>
      <c r="M62" s="511">
        <f>ROUND(1.05*J62,2)</f>
        <v>49.94</v>
      </c>
      <c r="P62" s="455">
        <f>SUM(P59:P61)</f>
        <v>21.021681000000001</v>
      </c>
      <c r="Q62" s="455"/>
      <c r="R62" s="455">
        <f>SUM(R59:R61)</f>
        <v>22.08</v>
      </c>
      <c r="S62" s="456">
        <f>R62+M62</f>
        <v>72.02</v>
      </c>
      <c r="T62" s="457"/>
      <c r="U62" s="458">
        <v>71.900000000000006</v>
      </c>
    </row>
    <row r="63" spans="1:34">
      <c r="A63" s="684"/>
      <c r="C63" s="443"/>
      <c r="H63" s="6">
        <f t="shared" si="3"/>
        <v>0</v>
      </c>
      <c r="I63" s="6"/>
      <c r="J63" s="401"/>
      <c r="K63" s="401"/>
      <c r="L63" s="401"/>
      <c r="S63" s="459"/>
      <c r="T63" s="459"/>
      <c r="U63" s="444"/>
    </row>
    <row r="64" spans="1:34" ht="15" thickBot="1">
      <c r="A64" s="685"/>
      <c r="C64" s="460"/>
      <c r="D64" s="461"/>
      <c r="E64" s="462"/>
      <c r="F64" s="462"/>
      <c r="G64" s="461"/>
      <c r="H64" s="246">
        <f t="shared" si="3"/>
        <v>0</v>
      </c>
      <c r="I64" s="246"/>
      <c r="J64" s="462"/>
      <c r="K64" s="462"/>
      <c r="L64" s="462"/>
      <c r="M64" s="461"/>
      <c r="N64" s="461"/>
      <c r="O64" s="461"/>
      <c r="P64" s="461"/>
      <c r="Q64" s="461"/>
      <c r="R64" s="461"/>
      <c r="S64" s="463">
        <f>SUM(S59:S61)</f>
        <v>69.646630136986303</v>
      </c>
      <c r="T64" s="463"/>
      <c r="U64" s="464"/>
    </row>
    <row r="65" spans="1:20">
      <c r="H65" s="6">
        <f t="shared" si="3"/>
        <v>0</v>
      </c>
      <c r="I65" s="6"/>
      <c r="J65" s="401"/>
      <c r="K65" s="401"/>
      <c r="L65" s="401"/>
      <c r="S65" s="403"/>
      <c r="T65" s="403"/>
    </row>
    <row r="66" spans="1:20">
      <c r="C66" s="368" t="s">
        <v>636</v>
      </c>
      <c r="G66" s="368">
        <v>23.25</v>
      </c>
      <c r="H66" s="6"/>
      <c r="I66" s="6"/>
      <c r="J66" s="401"/>
      <c r="K66" s="401"/>
      <c r="L66" s="401"/>
      <c r="S66" s="403"/>
      <c r="T66" s="403"/>
    </row>
    <row r="67" spans="1:20">
      <c r="C67" s="368" t="s">
        <v>637</v>
      </c>
      <c r="G67" s="368">
        <v>3.22</v>
      </c>
      <c r="H67" s="6"/>
      <c r="I67" s="6"/>
      <c r="J67" s="401"/>
      <c r="K67" s="401"/>
      <c r="L67" s="401"/>
      <c r="S67" s="403"/>
      <c r="T67" s="403"/>
    </row>
    <row r="68" spans="1:20" ht="15" thickBot="1">
      <c r="H68" s="6"/>
      <c r="I68" s="6"/>
      <c r="J68" s="401"/>
      <c r="K68" s="401"/>
      <c r="L68" s="401"/>
    </row>
    <row r="69" spans="1:20" ht="42">
      <c r="A69" s="522"/>
      <c r="B69" s="523"/>
      <c r="C69" s="523"/>
      <c r="D69" s="523"/>
      <c r="E69" s="524"/>
      <c r="F69" s="525" t="s">
        <v>682</v>
      </c>
      <c r="G69" s="523"/>
      <c r="H69" s="526" t="s">
        <v>683</v>
      </c>
      <c r="I69" s="526"/>
      <c r="J69" s="527"/>
      <c r="K69" s="401"/>
      <c r="L69" s="401"/>
    </row>
    <row r="70" spans="1:20">
      <c r="A70" s="528"/>
      <c r="H70" s="6"/>
      <c r="I70" s="6"/>
      <c r="J70" s="529"/>
      <c r="K70" s="401"/>
      <c r="L70" s="401"/>
    </row>
    <row r="71" spans="1:20">
      <c r="A71" s="528"/>
      <c r="H71" s="6"/>
      <c r="I71" s="6"/>
      <c r="J71" s="529"/>
      <c r="K71" s="401"/>
      <c r="L71" s="401"/>
    </row>
    <row r="72" spans="1:20">
      <c r="A72" s="528"/>
      <c r="C72" s="368" t="s">
        <v>676</v>
      </c>
      <c r="D72" s="459" t="s">
        <v>672</v>
      </c>
      <c r="E72" s="368"/>
      <c r="F72" s="344">
        <f>T18</f>
        <v>2380.9699999999998</v>
      </c>
      <c r="H72" s="521">
        <f>H14+H15+H18</f>
        <v>766.81</v>
      </c>
      <c r="I72" s="519" t="s">
        <v>235</v>
      </c>
      <c r="J72" s="529"/>
      <c r="K72" s="401"/>
      <c r="L72" s="401"/>
    </row>
    <row r="73" spans="1:20">
      <c r="A73" s="528"/>
      <c r="E73" s="459"/>
      <c r="F73" s="459"/>
      <c r="J73" s="530"/>
    </row>
    <row r="74" spans="1:20">
      <c r="A74" s="528"/>
      <c r="C74" s="368" t="s">
        <v>677</v>
      </c>
      <c r="D74" s="459" t="s">
        <v>673</v>
      </c>
      <c r="E74" s="368"/>
      <c r="F74" s="344">
        <f>T39</f>
        <v>2586.7397260273974</v>
      </c>
      <c r="H74" s="531">
        <f>H39+H37+H36+H35</f>
        <v>893.34999999999991</v>
      </c>
      <c r="I74" s="519" t="s">
        <v>235</v>
      </c>
      <c r="J74" s="530"/>
    </row>
    <row r="75" spans="1:20">
      <c r="A75" s="528"/>
      <c r="E75" s="368"/>
      <c r="F75" s="368"/>
      <c r="J75" s="530"/>
    </row>
    <row r="76" spans="1:20">
      <c r="A76" s="528"/>
      <c r="C76" s="368" t="s">
        <v>675</v>
      </c>
      <c r="D76" s="459" t="s">
        <v>674</v>
      </c>
      <c r="E76" s="368"/>
      <c r="F76" s="344">
        <f>U62</f>
        <v>71.900000000000006</v>
      </c>
      <c r="H76" s="532">
        <f>H62</f>
        <v>8</v>
      </c>
      <c r="I76" s="519" t="s">
        <v>235</v>
      </c>
      <c r="J76" s="530"/>
    </row>
    <row r="77" spans="1:20" ht="15" thickBot="1">
      <c r="A77" s="528"/>
      <c r="E77" s="368"/>
      <c r="F77" s="368"/>
      <c r="J77" s="530"/>
    </row>
    <row r="78" spans="1:20" ht="15" thickBot="1">
      <c r="A78" s="528"/>
      <c r="E78" s="533" t="e">
        <f>'JR 2024-2025'!#REF!</f>
        <v>#REF!</v>
      </c>
      <c r="F78" s="505">
        <f>SUM(F72:F77)</f>
        <v>5039.6097260273964</v>
      </c>
      <c r="H78" s="520">
        <f>SUM(H72:H77)</f>
        <v>1668.1599999999999</v>
      </c>
      <c r="J78" s="530"/>
    </row>
    <row r="79" spans="1:20">
      <c r="A79" s="528"/>
      <c r="J79" s="530"/>
    </row>
    <row r="80" spans="1:20">
      <c r="A80" s="528"/>
      <c r="J80" s="530"/>
    </row>
    <row r="81" spans="1:25" ht="14.25" customHeight="1">
      <c r="A81" s="528"/>
      <c r="B81" s="666" t="s">
        <v>257</v>
      </c>
      <c r="C81" s="666"/>
      <c r="D81" s="666"/>
      <c r="E81" s="666"/>
      <c r="F81" s="666"/>
      <c r="G81" s="666"/>
      <c r="H81" s="666"/>
      <c r="I81" s="666"/>
      <c r="J81" s="667"/>
      <c r="K81" s="366"/>
      <c r="L81" s="366"/>
      <c r="M81" s="366"/>
      <c r="N81" s="366"/>
      <c r="O81" s="366"/>
      <c r="P81" s="366"/>
      <c r="Q81" s="366"/>
      <c r="R81" s="366"/>
      <c r="S81" s="366"/>
      <c r="T81" s="366"/>
      <c r="U81" s="366"/>
      <c r="V81" s="366"/>
      <c r="W81" s="366"/>
      <c r="X81" s="366"/>
      <c r="Y81" s="366"/>
    </row>
    <row r="82" spans="1:25" ht="15">
      <c r="A82" s="528"/>
      <c r="B82" s="366"/>
      <c r="C82" s="366" t="s">
        <v>206</v>
      </c>
      <c r="D82" s="534">
        <f>M62+M39+M37+M36+M35+M18+M15+M14</f>
        <v>425.90000000000003</v>
      </c>
      <c r="E82" s="404"/>
      <c r="F82" s="404"/>
      <c r="G82" s="366"/>
      <c r="H82" s="404"/>
      <c r="I82" s="404"/>
      <c r="J82" s="535"/>
      <c r="K82" s="404"/>
      <c r="L82" s="404"/>
      <c r="M82" s="366"/>
      <c r="N82" s="366"/>
      <c r="O82" s="366"/>
      <c r="P82" s="366"/>
      <c r="Q82" s="366"/>
      <c r="R82" s="366"/>
      <c r="S82" s="423"/>
      <c r="T82" s="423"/>
      <c r="U82" s="366"/>
      <c r="V82" s="366"/>
      <c r="W82" s="366"/>
      <c r="X82" s="366"/>
      <c r="Y82" s="366"/>
    </row>
    <row r="83" spans="1:25" ht="15" thickBot="1">
      <c r="A83" s="528"/>
      <c r="B83" s="668" t="s">
        <v>207</v>
      </c>
      <c r="C83" s="668"/>
      <c r="D83" s="465">
        <v>156</v>
      </c>
      <c r="E83" s="404"/>
      <c r="F83" s="404"/>
      <c r="G83" s="366"/>
      <c r="H83" s="404"/>
      <c r="I83" s="404"/>
      <c r="J83" s="535"/>
      <c r="K83" s="404"/>
      <c r="L83" s="404"/>
      <c r="M83" s="366"/>
      <c r="N83" s="366"/>
      <c r="O83" s="366"/>
      <c r="P83" s="366"/>
      <c r="Q83" s="366"/>
      <c r="R83" s="366"/>
      <c r="S83" s="423"/>
      <c r="T83" s="423"/>
      <c r="U83" s="366"/>
      <c r="V83" s="366"/>
      <c r="W83" s="366"/>
      <c r="X83" s="366"/>
      <c r="Y83" s="366"/>
    </row>
    <row r="84" spans="1:25">
      <c r="A84" s="528"/>
      <c r="B84" s="367"/>
      <c r="C84" s="367"/>
      <c r="D84" s="536">
        <f>D82/D83</f>
        <v>2.7301282051282052</v>
      </c>
      <c r="E84" s="447"/>
      <c r="F84" s="447" t="s">
        <v>256</v>
      </c>
      <c r="G84" s="367"/>
      <c r="H84" s="447"/>
      <c r="I84" s="447"/>
      <c r="J84" s="537"/>
      <c r="K84" s="447"/>
      <c r="L84" s="447"/>
      <c r="M84" s="367"/>
      <c r="N84" s="367"/>
      <c r="O84" s="367"/>
      <c r="P84" s="367"/>
      <c r="Q84" s="367"/>
      <c r="R84" s="367"/>
      <c r="S84" s="466"/>
      <c r="T84" s="466"/>
      <c r="U84" s="367"/>
      <c r="V84" s="367"/>
      <c r="W84" s="367"/>
      <c r="X84" s="367"/>
      <c r="Y84" s="367"/>
    </row>
    <row r="85" spans="1:25">
      <c r="A85" s="528"/>
      <c r="J85" s="530"/>
    </row>
    <row r="86" spans="1:25">
      <c r="A86" s="528" t="s">
        <v>684</v>
      </c>
      <c r="J86" s="530"/>
    </row>
    <row r="87" spans="1:25">
      <c r="A87" s="528" t="s">
        <v>678</v>
      </c>
      <c r="H87" s="538">
        <f>F78/H78</f>
        <v>3.0210589667822014</v>
      </c>
      <c r="J87" s="530"/>
    </row>
    <row r="88" spans="1:25">
      <c r="A88" s="528"/>
      <c r="J88" s="530"/>
    </row>
    <row r="89" spans="1:25">
      <c r="A89" s="528" t="s">
        <v>685</v>
      </c>
      <c r="J89" s="530"/>
    </row>
    <row r="90" spans="1:25">
      <c r="A90" s="528"/>
      <c r="J90" s="530"/>
    </row>
    <row r="91" spans="1:25">
      <c r="A91" s="528" t="s">
        <v>686</v>
      </c>
      <c r="C91" s="368" t="s">
        <v>687</v>
      </c>
      <c r="D91" s="538">
        <f>AD18</f>
        <v>2.7692521499999998</v>
      </c>
      <c r="H91" s="368">
        <f>2.637383*1.05</f>
        <v>2.7692521499999998</v>
      </c>
      <c r="J91" s="530"/>
    </row>
    <row r="92" spans="1:25">
      <c r="A92" s="528"/>
      <c r="J92" s="530"/>
    </row>
    <row r="93" spans="1:25">
      <c r="A93" s="528"/>
      <c r="J93" s="530"/>
    </row>
    <row r="94" spans="1:25">
      <c r="A94" s="528"/>
      <c r="J94" s="530"/>
    </row>
    <row r="95" spans="1:25">
      <c r="A95" s="528"/>
      <c r="J95" s="530"/>
    </row>
    <row r="96" spans="1:25">
      <c r="A96" s="528"/>
      <c r="J96" s="530"/>
    </row>
    <row r="97" spans="1:10">
      <c r="A97" s="528"/>
      <c r="J97" s="530"/>
    </row>
    <row r="98" spans="1:10" ht="15" thickBot="1">
      <c r="A98" s="539"/>
      <c r="B98" s="540"/>
      <c r="C98" s="540"/>
      <c r="D98" s="540"/>
      <c r="E98" s="541"/>
      <c r="F98" s="541"/>
      <c r="G98" s="540"/>
      <c r="H98" s="540"/>
      <c r="I98" s="540"/>
      <c r="J98" s="542"/>
    </row>
  </sheetData>
  <mergeCells count="9">
    <mergeCell ref="A3:A18"/>
    <mergeCell ref="A45:A64"/>
    <mergeCell ref="A23:A39"/>
    <mergeCell ref="B1:Z1"/>
    <mergeCell ref="B83:C83"/>
    <mergeCell ref="C7:C8"/>
    <mergeCell ref="B7:B8"/>
    <mergeCell ref="C13:C16"/>
    <mergeCell ref="B81:J81"/>
  </mergeCells>
  <phoneticPr fontId="39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5"/>
  <sheetViews>
    <sheetView workbookViewId="0">
      <selection activeCell="L34" sqref="L34"/>
    </sheetView>
  </sheetViews>
  <sheetFormatPr baseColWidth="10" defaultRowHeight="15"/>
  <cols>
    <col min="1" max="1" width="12.5" bestFit="1" customWidth="1"/>
  </cols>
  <sheetData>
    <row r="1" spans="1:7">
      <c r="A1" t="s">
        <v>304</v>
      </c>
      <c r="B1" s="690" t="s">
        <v>310</v>
      </c>
      <c r="C1" s="690"/>
      <c r="D1" s="690" t="s">
        <v>311</v>
      </c>
      <c r="E1" s="690"/>
      <c r="F1" s="690" t="s">
        <v>314</v>
      </c>
      <c r="G1" s="690"/>
    </row>
    <row r="2" spans="1:7">
      <c r="B2" s="175" t="s">
        <v>307</v>
      </c>
      <c r="C2" s="37" t="s">
        <v>306</v>
      </c>
      <c r="D2" s="175" t="s">
        <v>186</v>
      </c>
      <c r="E2" s="37" t="s">
        <v>307</v>
      </c>
      <c r="F2" s="175" t="s">
        <v>186</v>
      </c>
      <c r="G2" s="37" t="s">
        <v>307</v>
      </c>
    </row>
    <row r="3" spans="1:7">
      <c r="B3" s="176" t="s">
        <v>305</v>
      </c>
      <c r="C3" s="35">
        <v>27</v>
      </c>
      <c r="D3" s="176">
        <v>20</v>
      </c>
      <c r="E3" s="35" t="s">
        <v>312</v>
      </c>
      <c r="F3" s="176">
        <v>1</v>
      </c>
      <c r="G3" s="35" t="s">
        <v>315</v>
      </c>
    </row>
    <row r="4" spans="1:7">
      <c r="B4" s="176">
        <v>12</v>
      </c>
      <c r="C4" s="35">
        <v>31</v>
      </c>
      <c r="D4" s="176">
        <v>31</v>
      </c>
      <c r="E4" s="35">
        <v>12</v>
      </c>
      <c r="F4" s="176">
        <v>30</v>
      </c>
      <c r="G4" s="35">
        <v>11</v>
      </c>
    </row>
    <row r="5" spans="1:7">
      <c r="B5" s="176">
        <v>1</v>
      </c>
      <c r="C5" s="35">
        <v>31</v>
      </c>
      <c r="D5" s="176">
        <v>31</v>
      </c>
      <c r="E5" s="35">
        <v>1</v>
      </c>
      <c r="F5" s="176">
        <v>31</v>
      </c>
      <c r="G5" s="35">
        <v>12</v>
      </c>
    </row>
    <row r="6" spans="1:7">
      <c r="B6" s="176">
        <v>2</v>
      </c>
      <c r="C6" s="177">
        <v>28</v>
      </c>
      <c r="D6" s="180">
        <v>28</v>
      </c>
      <c r="E6" s="35">
        <v>2</v>
      </c>
      <c r="F6" s="176">
        <v>31</v>
      </c>
      <c r="G6" s="35">
        <v>1</v>
      </c>
    </row>
    <row r="7" spans="1:7">
      <c r="B7" s="176">
        <v>3</v>
      </c>
      <c r="C7" s="35">
        <v>31</v>
      </c>
      <c r="D7" s="176">
        <v>31</v>
      </c>
      <c r="E7" s="35">
        <v>3</v>
      </c>
      <c r="F7" s="176">
        <v>28</v>
      </c>
      <c r="G7" s="35">
        <v>2</v>
      </c>
    </row>
    <row r="8" spans="1:7">
      <c r="B8" s="176">
        <v>4</v>
      </c>
      <c r="C8" s="35">
        <v>30</v>
      </c>
      <c r="D8" s="176">
        <v>30</v>
      </c>
      <c r="E8" s="35">
        <v>4</v>
      </c>
      <c r="F8" s="176">
        <v>31</v>
      </c>
      <c r="G8" s="35">
        <v>3</v>
      </c>
    </row>
    <row r="9" spans="1:7">
      <c r="B9" s="176">
        <v>5</v>
      </c>
      <c r="C9" s="35">
        <v>31</v>
      </c>
      <c r="D9" s="176">
        <v>31</v>
      </c>
      <c r="E9" s="35">
        <v>5</v>
      </c>
      <c r="F9" s="176">
        <v>30</v>
      </c>
      <c r="G9" s="35">
        <v>4</v>
      </c>
    </row>
    <row r="10" spans="1:7">
      <c r="B10" s="176">
        <v>6</v>
      </c>
      <c r="C10" s="35">
        <v>30</v>
      </c>
      <c r="D10" s="176">
        <v>30</v>
      </c>
      <c r="E10" s="35">
        <v>6</v>
      </c>
      <c r="F10" s="176">
        <v>31</v>
      </c>
      <c r="G10" s="35">
        <v>5</v>
      </c>
    </row>
    <row r="11" spans="1:7">
      <c r="B11" s="176">
        <v>7</v>
      </c>
      <c r="C11" s="35">
        <v>31</v>
      </c>
      <c r="D11" s="176">
        <v>31</v>
      </c>
      <c r="E11" s="35">
        <v>7</v>
      </c>
      <c r="F11" s="176">
        <v>30</v>
      </c>
      <c r="G11" s="35">
        <v>6</v>
      </c>
    </row>
    <row r="12" spans="1:7">
      <c r="B12" s="176">
        <v>8</v>
      </c>
      <c r="C12" s="35">
        <v>31</v>
      </c>
      <c r="D12" s="176">
        <v>31</v>
      </c>
      <c r="E12" s="35">
        <v>8</v>
      </c>
      <c r="F12" s="176">
        <v>31</v>
      </c>
      <c r="G12" s="35">
        <v>7</v>
      </c>
    </row>
    <row r="13" spans="1:7">
      <c r="B13" s="176">
        <v>9</v>
      </c>
      <c r="C13" s="35">
        <v>30</v>
      </c>
      <c r="D13" s="176">
        <v>30</v>
      </c>
      <c r="E13" s="35">
        <v>9</v>
      </c>
      <c r="F13" s="176">
        <v>31</v>
      </c>
      <c r="G13" s="35">
        <v>8</v>
      </c>
    </row>
    <row r="14" spans="1:7">
      <c r="B14" s="176">
        <v>10</v>
      </c>
      <c r="C14" s="35">
        <v>20</v>
      </c>
      <c r="D14" s="176">
        <v>20</v>
      </c>
      <c r="E14" s="35">
        <v>10</v>
      </c>
      <c r="F14" s="176">
        <v>30</v>
      </c>
      <c r="G14" s="35">
        <v>9</v>
      </c>
    </row>
    <row r="15" spans="1:7">
      <c r="B15" s="176">
        <v>11</v>
      </c>
      <c r="C15" s="178">
        <f>SUM(C3:C14)</f>
        <v>351</v>
      </c>
      <c r="D15" s="176">
        <v>16</v>
      </c>
      <c r="E15" s="35">
        <v>11</v>
      </c>
      <c r="F15" s="176">
        <v>20</v>
      </c>
      <c r="G15" s="35">
        <v>10</v>
      </c>
    </row>
    <row r="16" spans="1:7">
      <c r="B16" s="176"/>
      <c r="C16" s="35"/>
      <c r="D16" s="181">
        <f>SUM(D3:D15)</f>
        <v>360</v>
      </c>
      <c r="E16" s="35"/>
      <c r="F16" s="181">
        <f>SUM(F3:F15)</f>
        <v>355</v>
      </c>
      <c r="G16" s="35"/>
    </row>
    <row r="17" spans="2:11">
      <c r="B17" s="176"/>
      <c r="C17" s="35"/>
      <c r="D17" s="176"/>
      <c r="E17" s="35"/>
      <c r="F17" s="176"/>
      <c r="G17" s="35"/>
    </row>
    <row r="18" spans="2:11">
      <c r="B18" s="176"/>
      <c r="C18" s="35"/>
      <c r="D18" s="176"/>
      <c r="E18" s="35"/>
      <c r="F18" s="176"/>
      <c r="G18" s="35"/>
    </row>
    <row r="19" spans="2:11">
      <c r="B19" s="176"/>
      <c r="C19" s="35"/>
      <c r="D19" s="176"/>
      <c r="E19" s="35"/>
      <c r="F19" s="176"/>
      <c r="G19" s="35"/>
    </row>
    <row r="20" spans="2:11">
      <c r="B20" s="179"/>
      <c r="C20" s="36"/>
      <c r="D20" s="179"/>
      <c r="E20" s="36"/>
      <c r="F20" s="179"/>
      <c r="G20" s="36"/>
    </row>
    <row r="22" spans="2:11" ht="28">
      <c r="B22" t="s">
        <v>310</v>
      </c>
      <c r="C22" t="s">
        <v>600</v>
      </c>
      <c r="E22">
        <v>10</v>
      </c>
      <c r="F22" s="34" t="s">
        <v>609</v>
      </c>
      <c r="H22" t="s">
        <v>311</v>
      </c>
      <c r="I22" s="18" t="s">
        <v>321</v>
      </c>
      <c r="J22">
        <f>30-17</f>
        <v>13</v>
      </c>
      <c r="K22" t="s">
        <v>601</v>
      </c>
    </row>
    <row r="23" spans="2:11">
      <c r="E23">
        <v>30</v>
      </c>
      <c r="F23" t="s">
        <v>601</v>
      </c>
      <c r="J23">
        <v>31</v>
      </c>
      <c r="K23" t="s">
        <v>602</v>
      </c>
    </row>
    <row r="24" spans="2:11">
      <c r="E24">
        <v>31</v>
      </c>
      <c r="F24" t="s">
        <v>602</v>
      </c>
      <c r="J24">
        <v>31</v>
      </c>
      <c r="K24" s="34" t="s">
        <v>603</v>
      </c>
    </row>
    <row r="25" spans="2:11">
      <c r="E25">
        <v>31</v>
      </c>
      <c r="F25" s="34" t="s">
        <v>603</v>
      </c>
      <c r="J25">
        <v>28</v>
      </c>
      <c r="K25" t="s">
        <v>604</v>
      </c>
    </row>
    <row r="26" spans="2:11">
      <c r="E26">
        <v>28</v>
      </c>
      <c r="F26" t="s">
        <v>604</v>
      </c>
      <c r="J26">
        <v>31</v>
      </c>
      <c r="K26" t="s">
        <v>605</v>
      </c>
    </row>
    <row r="27" spans="2:11">
      <c r="E27">
        <v>31</v>
      </c>
      <c r="F27" t="s">
        <v>605</v>
      </c>
      <c r="J27">
        <v>30</v>
      </c>
      <c r="K27" s="34" t="s">
        <v>606</v>
      </c>
    </row>
    <row r="28" spans="2:11">
      <c r="E28">
        <v>30</v>
      </c>
      <c r="F28" s="34" t="s">
        <v>606</v>
      </c>
      <c r="J28">
        <v>31</v>
      </c>
      <c r="K28" t="s">
        <v>607</v>
      </c>
    </row>
    <row r="29" spans="2:11">
      <c r="E29">
        <v>31</v>
      </c>
      <c r="F29" t="s">
        <v>607</v>
      </c>
      <c r="J29">
        <v>30</v>
      </c>
      <c r="K29" t="s">
        <v>608</v>
      </c>
    </row>
    <row r="30" spans="2:11">
      <c r="E30">
        <v>30</v>
      </c>
      <c r="F30" t="s">
        <v>608</v>
      </c>
      <c r="J30">
        <v>31</v>
      </c>
      <c r="K30" s="34" t="s">
        <v>610</v>
      </c>
    </row>
    <row r="31" spans="2:11">
      <c r="E31">
        <v>31</v>
      </c>
      <c r="F31" s="34" t="s">
        <v>610</v>
      </c>
      <c r="J31">
        <v>31</v>
      </c>
      <c r="K31" t="s">
        <v>611</v>
      </c>
    </row>
    <row r="32" spans="2:11">
      <c r="E32">
        <v>31</v>
      </c>
      <c r="F32" t="s">
        <v>611</v>
      </c>
      <c r="J32">
        <v>30</v>
      </c>
      <c r="K32" t="s">
        <v>612</v>
      </c>
    </row>
    <row r="33" spans="5:11">
      <c r="E33">
        <v>30</v>
      </c>
      <c r="F33" t="s">
        <v>612</v>
      </c>
      <c r="J33">
        <v>31</v>
      </c>
      <c r="K33" t="s">
        <v>609</v>
      </c>
    </row>
    <row r="34" spans="5:11">
      <c r="E34">
        <v>30</v>
      </c>
      <c r="F34" t="s">
        <v>613</v>
      </c>
      <c r="J34">
        <v>20</v>
      </c>
      <c r="K34" t="s">
        <v>601</v>
      </c>
    </row>
    <row r="35" spans="5:11">
      <c r="E35" s="178">
        <f>SUM(E22:E34)</f>
        <v>374</v>
      </c>
      <c r="J35" s="178">
        <f>SUM(J22:J34)</f>
        <v>368</v>
      </c>
    </row>
  </sheetData>
  <mergeCells count="3">
    <mergeCell ref="B1:C1"/>
    <mergeCell ref="D1:E1"/>
    <mergeCell ref="F1:G1"/>
  </mergeCells>
  <phoneticPr fontId="39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53"/>
  <sheetViews>
    <sheetView workbookViewId="0">
      <selection sqref="A1:XFD1048576"/>
    </sheetView>
  </sheetViews>
  <sheetFormatPr baseColWidth="10" defaultRowHeight="15"/>
  <cols>
    <col min="1" max="1" width="21.83203125" customWidth="1"/>
    <col min="2" max="2" width="22.1640625" customWidth="1"/>
    <col min="3" max="3" width="25.33203125" customWidth="1"/>
    <col min="4" max="4" width="9.1640625" customWidth="1"/>
    <col min="5" max="5" width="12.1640625" bestFit="1" customWidth="1"/>
    <col min="7" max="7" width="11.5" style="91"/>
    <col min="10" max="10" width="4.5" customWidth="1"/>
    <col min="15" max="15" width="13.1640625" customWidth="1"/>
    <col min="17" max="17" width="11.83203125" bestFit="1" customWidth="1"/>
    <col min="18" max="18" width="12.5" customWidth="1"/>
    <col min="20" max="20" width="13.33203125" customWidth="1"/>
  </cols>
  <sheetData>
    <row r="1" spans="1:25" ht="40.5" customHeight="1">
      <c r="A1" s="669" t="s">
        <v>722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</row>
    <row r="2" spans="1:25" ht="16" thickBot="1">
      <c r="A2" s="369"/>
      <c r="B2" s="369"/>
      <c r="C2" s="369"/>
      <c r="D2" s="370"/>
      <c r="E2" s="370"/>
      <c r="F2" s="369"/>
      <c r="G2" s="370"/>
      <c r="H2" s="370"/>
      <c r="I2" s="370"/>
      <c r="J2" s="370"/>
      <c r="K2" s="370"/>
      <c r="L2" s="369"/>
      <c r="M2" s="369"/>
      <c r="N2" s="369"/>
      <c r="O2" s="369"/>
      <c r="P2" s="369"/>
      <c r="Q2" s="369"/>
      <c r="R2" s="371"/>
      <c r="S2" s="371"/>
      <c r="T2" s="369"/>
      <c r="U2" s="369"/>
      <c r="V2" s="369"/>
      <c r="W2" s="369"/>
      <c r="X2" s="369"/>
      <c r="Y2" s="369"/>
    </row>
    <row r="3" spans="1:25" ht="98">
      <c r="A3" s="353" t="s">
        <v>736</v>
      </c>
      <c r="B3" s="354"/>
      <c r="C3" s="354" t="s">
        <v>185</v>
      </c>
      <c r="D3" s="354" t="s">
        <v>186</v>
      </c>
      <c r="E3" s="354" t="s">
        <v>187</v>
      </c>
      <c r="F3" s="354" t="s">
        <v>188</v>
      </c>
      <c r="G3" s="354" t="s">
        <v>189</v>
      </c>
      <c r="H3" s="355" t="s">
        <v>651</v>
      </c>
      <c r="I3" s="354" t="s">
        <v>190</v>
      </c>
      <c r="J3" s="354"/>
      <c r="K3" s="354" t="s">
        <v>652</v>
      </c>
      <c r="L3" s="354" t="s">
        <v>655</v>
      </c>
      <c r="M3" s="355" t="s">
        <v>656</v>
      </c>
      <c r="N3" s="355" t="s">
        <v>728</v>
      </c>
      <c r="O3" s="354" t="s">
        <v>192</v>
      </c>
      <c r="P3" s="355" t="s">
        <v>658</v>
      </c>
      <c r="Q3" s="354" t="s">
        <v>193</v>
      </c>
      <c r="R3" s="354" t="s">
        <v>657</v>
      </c>
      <c r="S3" s="356" t="s">
        <v>654</v>
      </c>
      <c r="T3" s="296" t="s">
        <v>195</v>
      </c>
      <c r="U3" s="7" t="s">
        <v>196</v>
      </c>
      <c r="V3" s="7" t="s">
        <v>654</v>
      </c>
      <c r="W3" s="7" t="s">
        <v>653</v>
      </c>
      <c r="X3" s="57" t="s">
        <v>197</v>
      </c>
      <c r="Y3" s="7" t="s">
        <v>198</v>
      </c>
    </row>
    <row r="4" spans="1:25" ht="54" customHeight="1">
      <c r="A4" s="230"/>
      <c r="B4" s="379"/>
      <c r="C4" s="21"/>
      <c r="D4" s="447"/>
      <c r="E4" s="447"/>
      <c r="F4" s="367"/>
      <c r="G4" s="447"/>
      <c r="H4" s="36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32"/>
      <c r="W4" s="232"/>
      <c r="X4" s="231"/>
      <c r="Y4" s="231"/>
    </row>
    <row r="5" spans="1:25" s="110" customFormat="1">
      <c r="A5" s="675" t="s">
        <v>154</v>
      </c>
      <c r="B5" s="565" t="s">
        <v>724</v>
      </c>
      <c r="C5" s="560" t="s">
        <v>723</v>
      </c>
      <c r="D5" s="566">
        <f>31+217+29</f>
        <v>277</v>
      </c>
      <c r="E5" s="567">
        <v>2052</v>
      </c>
      <c r="F5" s="567">
        <v>2299</v>
      </c>
      <c r="G5" s="566">
        <f>F5-E5</f>
        <v>247</v>
      </c>
      <c r="H5" s="565">
        <v>129.02000000000001</v>
      </c>
      <c r="I5" s="560">
        <f>((129.02/365)*D5)</f>
        <v>97.91380821917808</v>
      </c>
      <c r="J5" s="560"/>
      <c r="K5" s="560" t="s">
        <v>732</v>
      </c>
      <c r="L5" s="560">
        <f>ROUND(1.04*I5,2)</f>
        <v>101.83</v>
      </c>
      <c r="M5" s="560"/>
      <c r="N5" s="560">
        <v>267.66800000000001</v>
      </c>
      <c r="O5" s="560">
        <f>G5*2.67668</f>
        <v>661.13996000000009</v>
      </c>
      <c r="P5" s="560">
        <f>73.85+516.6+69.59</f>
        <v>660.04000000000008</v>
      </c>
      <c r="Q5" s="560">
        <f t="shared" ref="Q5:Q6" si="0">ROUND(1.07*O5,2)</f>
        <v>707.42</v>
      </c>
      <c r="R5" s="560">
        <f>L5+Q5</f>
        <v>809.25</v>
      </c>
      <c r="S5" s="560"/>
      <c r="T5" s="560">
        <v>809.12</v>
      </c>
      <c r="U5" s="560"/>
      <c r="V5" s="561"/>
      <c r="W5" s="20"/>
      <c r="X5" s="21"/>
      <c r="Y5" s="21"/>
    </row>
    <row r="6" spans="1:25" s="110" customFormat="1" ht="16" thickBot="1">
      <c r="A6" s="675"/>
      <c r="B6" s="565" t="s">
        <v>725</v>
      </c>
      <c r="C6" s="560" t="s">
        <v>726</v>
      </c>
      <c r="D6" s="566">
        <f>26+16</f>
        <v>42</v>
      </c>
      <c r="E6" s="567">
        <v>2299</v>
      </c>
      <c r="F6" s="567">
        <v>2325</v>
      </c>
      <c r="G6" s="566">
        <f>F6-E6</f>
        <v>26</v>
      </c>
      <c r="H6" s="565">
        <v>129.02000000000001</v>
      </c>
      <c r="I6" s="560">
        <f>((129.02/365)*D6)</f>
        <v>14.846136986301371</v>
      </c>
      <c r="J6" s="560"/>
      <c r="K6" s="560">
        <v>7.0000000000000007E-2</v>
      </c>
      <c r="L6" s="560">
        <f>ROUND(1.07*I6,2)</f>
        <v>15.89</v>
      </c>
      <c r="M6" s="560"/>
      <c r="N6" s="560">
        <v>267.66800000000001</v>
      </c>
      <c r="O6" s="560">
        <f>G6*2.67668</f>
        <v>69.593680000000006</v>
      </c>
      <c r="P6" s="562"/>
      <c r="Q6" s="560">
        <f t="shared" si="0"/>
        <v>74.47</v>
      </c>
      <c r="R6" s="560">
        <f>L6+Q6</f>
        <v>90.36</v>
      </c>
      <c r="S6" s="560"/>
      <c r="T6" s="562"/>
      <c r="U6" s="560"/>
      <c r="V6" s="561"/>
      <c r="W6" s="20"/>
      <c r="X6" s="21"/>
      <c r="Y6" s="21"/>
    </row>
    <row r="7" spans="1:25" s="110" customFormat="1" ht="16" thickBot="1">
      <c r="A7" s="675"/>
      <c r="B7" s="568" t="s">
        <v>727</v>
      </c>
      <c r="C7" s="560"/>
      <c r="D7" s="569">
        <f>SUM(D5:D6)</f>
        <v>319</v>
      </c>
      <c r="E7" s="566"/>
      <c r="F7" s="565"/>
      <c r="G7" s="569">
        <f>SUM(G5:G6)</f>
        <v>273</v>
      </c>
      <c r="H7" s="565"/>
      <c r="I7" s="563">
        <f>SUM(I5:I6)</f>
        <v>112.75994520547945</v>
      </c>
      <c r="J7" s="560"/>
      <c r="K7" s="560"/>
      <c r="L7" s="563">
        <f>SUM(L5:L6)</f>
        <v>117.72</v>
      </c>
      <c r="M7" s="560"/>
      <c r="N7" s="560"/>
      <c r="O7" s="563">
        <f>SUM(O5:O6)</f>
        <v>730.73364000000015</v>
      </c>
      <c r="P7" s="560"/>
      <c r="Q7" s="575">
        <f>SUM(Q5:Q6)</f>
        <v>781.89</v>
      </c>
      <c r="R7" s="574">
        <f>SUM(R5:R6)</f>
        <v>899.61</v>
      </c>
      <c r="S7" s="560"/>
      <c r="T7" s="563">
        <f>SUM(T5:T6)</f>
        <v>809.12</v>
      </c>
      <c r="U7" s="560"/>
      <c r="V7" s="561"/>
      <c r="W7" s="20"/>
      <c r="X7" s="21"/>
      <c r="Y7" s="21"/>
    </row>
    <row r="8" spans="1:25" s="110" customFormat="1">
      <c r="A8" s="6"/>
      <c r="B8" s="565"/>
      <c r="C8" s="560"/>
      <c r="D8" s="566"/>
      <c r="E8" s="566"/>
      <c r="F8" s="565"/>
      <c r="G8" s="566"/>
      <c r="H8" s="565"/>
      <c r="I8" s="560"/>
      <c r="J8" s="560"/>
      <c r="K8" s="560"/>
      <c r="L8" s="560"/>
      <c r="M8" s="560"/>
      <c r="N8" s="560"/>
      <c r="O8" s="560"/>
      <c r="P8" s="560"/>
      <c r="Q8" s="560"/>
      <c r="R8" s="560"/>
      <c r="S8" s="560"/>
      <c r="T8" s="560"/>
      <c r="U8" s="560"/>
      <c r="V8" s="561"/>
      <c r="W8" s="20"/>
      <c r="X8" s="21"/>
      <c r="Y8" s="21"/>
    </row>
    <row r="9" spans="1:25" s="110" customFormat="1" ht="15.75" customHeight="1">
      <c r="A9" s="675" t="s">
        <v>311</v>
      </c>
      <c r="B9" s="565" t="s">
        <v>729</v>
      </c>
      <c r="C9" s="560" t="s">
        <v>730</v>
      </c>
      <c r="D9" s="566">
        <f>41+217+29</f>
        <v>287</v>
      </c>
      <c r="E9" s="566">
        <v>1836</v>
      </c>
      <c r="F9" s="565">
        <v>2071</v>
      </c>
      <c r="G9" s="566">
        <f>F9-E9</f>
        <v>235</v>
      </c>
      <c r="H9" s="565">
        <v>129.02000000000001</v>
      </c>
      <c r="I9" s="560">
        <f>((129.02/365)*D9)</f>
        <v>101.44860273972603</v>
      </c>
      <c r="J9" s="560"/>
      <c r="K9" s="560" t="s">
        <v>732</v>
      </c>
      <c r="L9" s="560">
        <f>ROUND(1.03*I9,2)</f>
        <v>104.49</v>
      </c>
      <c r="M9" s="560"/>
      <c r="N9" s="560">
        <v>267.66800000000001</v>
      </c>
      <c r="O9" s="560">
        <f>G9*2.67668</f>
        <v>629.01980000000003</v>
      </c>
      <c r="P9" s="560">
        <f>89.67+473.77+64.24</f>
        <v>627.67999999999995</v>
      </c>
      <c r="Q9" s="560">
        <f t="shared" ref="Q9" si="1">ROUND(1.07*O9,2)</f>
        <v>673.05</v>
      </c>
      <c r="R9" s="560">
        <f>L9+Q9</f>
        <v>777.54</v>
      </c>
      <c r="S9" s="560"/>
      <c r="T9" s="560">
        <v>777.82</v>
      </c>
      <c r="U9" s="560"/>
      <c r="V9" s="561"/>
      <c r="W9" s="20"/>
      <c r="X9" s="21"/>
      <c r="Y9" s="21"/>
    </row>
    <row r="10" spans="1:25" s="110" customFormat="1" ht="15" customHeight="1" thickBot="1">
      <c r="A10" s="675"/>
      <c r="B10" s="565"/>
      <c r="C10" s="560" t="s">
        <v>731</v>
      </c>
      <c r="D10" s="566">
        <f>1+16</f>
        <v>17</v>
      </c>
      <c r="E10" s="566">
        <v>2071</v>
      </c>
      <c r="F10" s="565">
        <v>2102</v>
      </c>
      <c r="G10" s="566">
        <f>F10-E10</f>
        <v>31</v>
      </c>
      <c r="H10" s="565">
        <v>129.02000000000001</v>
      </c>
      <c r="I10" s="560">
        <f>((129.02/365)*D10)</f>
        <v>6.0091506849315071</v>
      </c>
      <c r="J10" s="560"/>
      <c r="K10" s="560">
        <v>7.0000000000000007E-2</v>
      </c>
      <c r="L10" s="560">
        <f>ROUND(1.07*I10,2)</f>
        <v>6.43</v>
      </c>
      <c r="M10" s="560"/>
      <c r="N10" s="560">
        <v>267.66800000000001</v>
      </c>
      <c r="O10" s="560">
        <f>G10*2.67668</f>
        <v>82.977080000000001</v>
      </c>
      <c r="P10" s="562"/>
      <c r="Q10" s="560">
        <f>ROUND(1.07*O10,2)</f>
        <v>88.79</v>
      </c>
      <c r="R10" s="560">
        <f>L10+Q10</f>
        <v>95.22</v>
      </c>
      <c r="S10" s="560"/>
      <c r="T10" s="570"/>
      <c r="U10" s="560"/>
      <c r="V10" s="561"/>
      <c r="W10" s="20"/>
      <c r="X10" s="21"/>
      <c r="Y10" s="21"/>
    </row>
    <row r="11" spans="1:25" s="110" customFormat="1" ht="16" thickBot="1">
      <c r="A11" s="675"/>
      <c r="B11" s="568" t="s">
        <v>733</v>
      </c>
      <c r="C11" s="560"/>
      <c r="D11" s="569">
        <f>SUM(D9:D10)</f>
        <v>304</v>
      </c>
      <c r="E11" s="566"/>
      <c r="F11" s="565"/>
      <c r="G11" s="569">
        <f>SUM(G9:G10)</f>
        <v>266</v>
      </c>
      <c r="H11" s="565"/>
      <c r="I11" s="563">
        <f>SUM(I9:I10)</f>
        <v>107.45775342465754</v>
      </c>
      <c r="J11" s="560"/>
      <c r="K11" s="560"/>
      <c r="L11" s="563">
        <f>SUM(L9:L10)</f>
        <v>110.91999999999999</v>
      </c>
      <c r="M11" s="560"/>
      <c r="N11" s="560"/>
      <c r="O11" s="563">
        <f>SUM(O9:O10)</f>
        <v>711.99688000000003</v>
      </c>
      <c r="P11" s="560"/>
      <c r="Q11" s="575">
        <f>SUM(Q9:Q10)</f>
        <v>761.83999999999992</v>
      </c>
      <c r="R11" s="576">
        <f>SUM(R9:R10)</f>
        <v>872.76</v>
      </c>
      <c r="S11" s="560"/>
      <c r="T11" s="563"/>
      <c r="U11" s="560"/>
      <c r="V11" s="561"/>
      <c r="W11" s="20"/>
      <c r="X11" s="21"/>
      <c r="Y11" s="21"/>
    </row>
    <row r="12" spans="1:25" s="110" customFormat="1">
      <c r="A12" s="6"/>
      <c r="B12" s="565"/>
      <c r="C12" s="560"/>
      <c r="D12" s="566"/>
      <c r="E12" s="566"/>
      <c r="F12" s="565"/>
      <c r="G12" s="566"/>
      <c r="H12" s="565"/>
      <c r="I12" s="560"/>
      <c r="J12" s="560"/>
      <c r="K12" s="560"/>
      <c r="L12" s="560"/>
      <c r="M12" s="560"/>
      <c r="N12" s="560"/>
      <c r="O12" s="560"/>
      <c r="P12" s="560"/>
      <c r="Q12" s="560"/>
      <c r="R12" s="560"/>
      <c r="S12" s="560"/>
      <c r="T12" s="560"/>
      <c r="U12" s="560"/>
      <c r="V12" s="561"/>
      <c r="W12" s="20"/>
      <c r="X12" s="21"/>
      <c r="Y12" s="21"/>
    </row>
    <row r="13" spans="1:25" s="110" customFormat="1" ht="46" thickBot="1">
      <c r="A13" s="6" t="s">
        <v>734</v>
      </c>
      <c r="B13" s="366" t="s">
        <v>737</v>
      </c>
      <c r="C13" s="560" t="s">
        <v>735</v>
      </c>
      <c r="D13" s="571">
        <f>61+304</f>
        <v>365</v>
      </c>
      <c r="E13" s="566">
        <v>4</v>
      </c>
      <c r="F13" s="566">
        <v>13</v>
      </c>
      <c r="G13" s="571">
        <f>F13-E13</f>
        <v>9</v>
      </c>
      <c r="H13" s="565">
        <v>48.38</v>
      </c>
      <c r="I13" s="560">
        <f>((H13/365)*D13)</f>
        <v>48.38</v>
      </c>
      <c r="J13" s="560"/>
      <c r="K13" s="560" t="s">
        <v>732</v>
      </c>
      <c r="L13" s="560">
        <f>ROUND(1.05*I13,2)</f>
        <v>50.8</v>
      </c>
      <c r="M13" s="560"/>
      <c r="N13" s="560">
        <v>267.66800000000001</v>
      </c>
      <c r="O13" s="564">
        <f>G13*2.67668</f>
        <v>24.090120000000002</v>
      </c>
      <c r="P13" s="560">
        <f>5.27+18.74</f>
        <v>24.009999999999998</v>
      </c>
      <c r="Q13" s="560">
        <f t="shared" ref="Q13:Q14" si="2">ROUND(1.07*O13,2)</f>
        <v>25.78</v>
      </c>
      <c r="R13" s="560">
        <f>L13+Q13</f>
        <v>76.58</v>
      </c>
      <c r="S13" s="560"/>
      <c r="T13" s="560">
        <v>77.05</v>
      </c>
      <c r="U13" s="560"/>
      <c r="V13" s="561"/>
      <c r="W13" s="20"/>
      <c r="X13" s="21"/>
      <c r="Y13" s="21"/>
    </row>
    <row r="14" spans="1:25" s="110" customFormat="1" ht="31" thickBot="1">
      <c r="A14" s="6"/>
      <c r="B14" s="572" t="s">
        <v>739</v>
      </c>
      <c r="C14" s="560" t="s">
        <v>738</v>
      </c>
      <c r="D14" s="566">
        <f>61+304-15</f>
        <v>350</v>
      </c>
      <c r="E14" s="566">
        <v>4</v>
      </c>
      <c r="F14" s="573">
        <v>7</v>
      </c>
      <c r="G14" s="566">
        <f>F14-E14</f>
        <v>3</v>
      </c>
      <c r="H14" s="565">
        <v>48.38</v>
      </c>
      <c r="I14" s="560">
        <f>((H14/365)*D14)</f>
        <v>46.391780821917813</v>
      </c>
      <c r="J14" s="560"/>
      <c r="K14" s="560" t="s">
        <v>732</v>
      </c>
      <c r="L14" s="560">
        <f>ROUND(1.05*I14,2)</f>
        <v>48.71</v>
      </c>
      <c r="M14" s="560"/>
      <c r="N14" s="560">
        <v>267.66800000000001</v>
      </c>
      <c r="O14" s="560">
        <f>G14*2.67668</f>
        <v>8.0300399999999996</v>
      </c>
      <c r="P14" s="562"/>
      <c r="Q14" s="560">
        <f t="shared" si="2"/>
        <v>8.59</v>
      </c>
      <c r="R14" s="574">
        <f>L14+Q14</f>
        <v>57.3</v>
      </c>
      <c r="S14" s="560"/>
      <c r="T14" s="562"/>
      <c r="U14" s="560"/>
      <c r="V14" s="561"/>
      <c r="W14" s="20"/>
      <c r="X14" s="21"/>
      <c r="Y14" s="21"/>
    </row>
    <row r="15" spans="1:25">
      <c r="A15" s="6"/>
      <c r="B15" s="367"/>
      <c r="C15" s="21"/>
      <c r="D15" s="447"/>
      <c r="E15" s="447"/>
      <c r="F15" s="367"/>
      <c r="G15" s="447"/>
      <c r="H15" s="367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0"/>
      <c r="W15" s="20"/>
      <c r="X15" s="21"/>
      <c r="Y15" s="21"/>
    </row>
    <row r="16" spans="1:25">
      <c r="A16" s="665" t="s">
        <v>741</v>
      </c>
      <c r="B16" s="577" t="s">
        <v>636</v>
      </c>
      <c r="C16" s="555"/>
      <c r="D16" s="578"/>
      <c r="E16" s="577">
        <v>23.25</v>
      </c>
      <c r="F16" s="578">
        <v>27.099</v>
      </c>
      <c r="G16" s="579">
        <f>F16-E16</f>
        <v>3.8490000000000002</v>
      </c>
      <c r="H16" s="367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0"/>
      <c r="W16" s="20"/>
      <c r="X16" s="21"/>
      <c r="Y16" s="21"/>
    </row>
    <row r="17" spans="1:25">
      <c r="A17" s="665"/>
      <c r="B17" s="577" t="s">
        <v>740</v>
      </c>
      <c r="C17" s="555"/>
      <c r="D17" s="578"/>
      <c r="E17" s="578"/>
      <c r="F17" s="577">
        <v>6.62</v>
      </c>
      <c r="G17" s="578"/>
      <c r="H17" s="367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0"/>
      <c r="W17" s="20"/>
      <c r="X17" s="21"/>
      <c r="Y17" s="21"/>
    </row>
    <row r="18" spans="1:25">
      <c r="A18" s="6"/>
      <c r="B18" s="367"/>
      <c r="C18" s="21"/>
      <c r="D18" s="447"/>
      <c r="E18" s="447"/>
      <c r="F18" s="367"/>
      <c r="G18" s="447"/>
      <c r="H18" s="367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0"/>
      <c r="W18" s="20"/>
      <c r="X18" s="21"/>
      <c r="Y18" s="21"/>
    </row>
    <row r="19" spans="1:25" ht="16" thickBot="1">
      <c r="A19" s="368"/>
      <c r="B19" s="368"/>
      <c r="C19" s="368"/>
      <c r="D19" s="401"/>
      <c r="E19" s="401"/>
      <c r="F19" s="368"/>
      <c r="G19" s="6"/>
      <c r="H19" s="6"/>
      <c r="I19" s="401"/>
      <c r="J19" s="401"/>
      <c r="K19" s="401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</row>
    <row r="20" spans="1:25" ht="46">
      <c r="A20" s="523"/>
      <c r="B20" s="523"/>
      <c r="C20" s="523"/>
      <c r="D20" s="524"/>
      <c r="E20" s="525" t="s">
        <v>682</v>
      </c>
      <c r="F20" s="523"/>
      <c r="G20" s="526" t="s">
        <v>683</v>
      </c>
      <c r="H20" s="526"/>
      <c r="I20" s="527"/>
      <c r="J20" s="401"/>
      <c r="K20" s="401"/>
      <c r="L20" s="368"/>
      <c r="M20" s="368"/>
      <c r="N20" s="368"/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</row>
    <row r="21" spans="1:25">
      <c r="A21" s="368"/>
      <c r="B21" s="368"/>
      <c r="C21" s="368"/>
      <c r="D21" s="401"/>
      <c r="E21" s="401"/>
      <c r="F21" s="368"/>
      <c r="G21" s="6"/>
      <c r="H21" s="6"/>
      <c r="I21" s="529"/>
      <c r="J21" s="401"/>
      <c r="K21" s="401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</row>
    <row r="22" spans="1:25">
      <c r="A22" s="368"/>
      <c r="B22" s="368"/>
      <c r="C22" s="368"/>
      <c r="D22" s="401"/>
      <c r="E22" s="401"/>
      <c r="F22" s="368"/>
      <c r="G22" s="6"/>
      <c r="H22" s="6"/>
      <c r="I22" s="529"/>
      <c r="J22" s="401"/>
      <c r="K22" s="401"/>
      <c r="L22" s="368"/>
      <c r="M22" s="368"/>
      <c r="N22" s="368"/>
      <c r="O22" s="368"/>
      <c r="P22" s="368"/>
      <c r="Q22" s="368"/>
      <c r="R22" s="368"/>
      <c r="S22" s="368"/>
      <c r="T22" s="368"/>
      <c r="U22" s="368"/>
      <c r="V22" s="368"/>
      <c r="W22" s="368"/>
      <c r="X22" s="368"/>
      <c r="Y22" s="368"/>
    </row>
    <row r="23" spans="1:25">
      <c r="A23" s="368"/>
      <c r="B23" s="368"/>
      <c r="C23" s="459" t="s">
        <v>672</v>
      </c>
      <c r="D23" s="368"/>
      <c r="E23" s="344">
        <f>R7</f>
        <v>899.61</v>
      </c>
      <c r="F23" s="368"/>
      <c r="G23" s="556">
        <f>G7</f>
        <v>273</v>
      </c>
      <c r="H23" s="519" t="s">
        <v>235</v>
      </c>
      <c r="I23" s="529"/>
      <c r="J23" s="401"/>
      <c r="K23" s="401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</row>
    <row r="24" spans="1:25">
      <c r="A24" s="368"/>
      <c r="B24" s="368"/>
      <c r="C24" s="368"/>
      <c r="D24" s="459"/>
      <c r="E24" s="459"/>
      <c r="F24" s="368"/>
      <c r="G24" s="401"/>
      <c r="H24" s="368"/>
      <c r="I24" s="530"/>
      <c r="J24" s="368"/>
      <c r="K24" s="368"/>
      <c r="L24" s="368"/>
      <c r="M24" s="368"/>
      <c r="N24" s="368"/>
      <c r="O24" s="368"/>
      <c r="P24" s="368"/>
      <c r="Q24" s="368"/>
      <c r="R24" s="368"/>
      <c r="S24" s="368"/>
      <c r="T24" s="368"/>
      <c r="U24" s="368"/>
      <c r="V24" s="368"/>
      <c r="W24" s="368"/>
      <c r="X24" s="368"/>
      <c r="Y24" s="368"/>
    </row>
    <row r="25" spans="1:25">
      <c r="A25" s="368"/>
      <c r="B25" s="368"/>
      <c r="C25" s="459" t="s">
        <v>673</v>
      </c>
      <c r="D25" s="368"/>
      <c r="E25" s="344">
        <f>R11</f>
        <v>872.76</v>
      </c>
      <c r="F25" s="368"/>
      <c r="G25" s="557">
        <f>G11</f>
        <v>266</v>
      </c>
      <c r="H25" s="519" t="s">
        <v>235</v>
      </c>
      <c r="I25" s="530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</row>
    <row r="26" spans="1:25">
      <c r="A26" s="368"/>
      <c r="B26" s="368"/>
      <c r="C26" s="368"/>
      <c r="D26" s="368"/>
      <c r="E26" s="368"/>
      <c r="F26" s="368"/>
      <c r="G26" s="401"/>
      <c r="H26" s="368"/>
      <c r="I26" s="530"/>
      <c r="J26" s="368"/>
      <c r="K26" s="368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</row>
    <row r="27" spans="1:25">
      <c r="A27" s="368"/>
      <c r="B27" s="368"/>
      <c r="C27" s="459" t="s">
        <v>674</v>
      </c>
      <c r="D27" s="368"/>
      <c r="E27" s="344">
        <f>R14</f>
        <v>57.3</v>
      </c>
      <c r="F27" s="368"/>
      <c r="G27" s="558">
        <f>G14</f>
        <v>3</v>
      </c>
      <c r="H27" s="519" t="s">
        <v>235</v>
      </c>
      <c r="I27" s="530"/>
      <c r="J27" s="368"/>
      <c r="K27" s="368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</row>
    <row r="28" spans="1:25" ht="16" thickBot="1">
      <c r="A28" s="368"/>
      <c r="B28" s="368"/>
      <c r="C28" s="368"/>
      <c r="D28" s="368"/>
      <c r="E28" s="368"/>
      <c r="F28" s="368"/>
      <c r="G28" s="401"/>
      <c r="H28" s="368"/>
      <c r="I28" s="530"/>
      <c r="J28" s="368"/>
      <c r="K28" s="368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8"/>
      <c r="W28" s="368"/>
      <c r="X28" s="368"/>
      <c r="Y28" s="368"/>
    </row>
    <row r="29" spans="1:25" ht="16" thickBot="1">
      <c r="A29" s="368"/>
      <c r="B29" s="368"/>
      <c r="C29" s="368"/>
      <c r="D29" s="533" t="e">
        <f>'JR 2024-2025'!#REF!</f>
        <v>#REF!</v>
      </c>
      <c r="E29" s="505">
        <f>SUM(E23:E28)</f>
        <v>1829.6699999999998</v>
      </c>
      <c r="F29" s="368"/>
      <c r="G29" s="559">
        <f>SUM(G23:G28)</f>
        <v>542</v>
      </c>
      <c r="H29" s="368"/>
      <c r="I29" s="530"/>
      <c r="J29" s="368"/>
      <c r="K29" s="368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</row>
    <row r="30" spans="1:25">
      <c r="A30" s="368"/>
      <c r="B30" s="368"/>
      <c r="C30" s="368"/>
      <c r="D30" s="401"/>
      <c r="E30" s="401"/>
      <c r="F30" s="368"/>
      <c r="G30" s="401"/>
      <c r="H30" s="368"/>
      <c r="I30" s="530"/>
      <c r="J30" s="368"/>
      <c r="K30" s="368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</row>
    <row r="31" spans="1:25">
      <c r="A31" s="368"/>
      <c r="B31" s="368"/>
      <c r="C31" s="368"/>
      <c r="D31" s="401"/>
      <c r="E31" s="401"/>
      <c r="F31" s="368"/>
      <c r="G31" s="401"/>
      <c r="H31" s="368"/>
      <c r="I31" s="530"/>
      <c r="J31" s="368"/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</row>
    <row r="32" spans="1:25">
      <c r="A32" s="666" t="s">
        <v>257</v>
      </c>
      <c r="B32" s="666"/>
      <c r="C32" s="666"/>
      <c r="D32" s="666"/>
      <c r="E32" s="666"/>
      <c r="F32" s="666"/>
      <c r="G32" s="666"/>
      <c r="H32" s="666"/>
      <c r="I32" s="667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8"/>
    </row>
    <row r="33" spans="1:25">
      <c r="A33" s="366"/>
      <c r="B33" s="366" t="s">
        <v>206</v>
      </c>
      <c r="C33" s="534">
        <f>L7+L11+L14</f>
        <v>277.34999999999997</v>
      </c>
      <c r="D33" s="404"/>
      <c r="E33" s="404"/>
      <c r="F33" s="366"/>
      <c r="G33" s="404"/>
      <c r="H33" s="404"/>
      <c r="I33" s="535"/>
      <c r="J33" s="404"/>
      <c r="K33" s="404"/>
      <c r="L33" s="366"/>
      <c r="M33" s="366"/>
      <c r="N33" s="366"/>
      <c r="O33" s="366"/>
      <c r="P33" s="366"/>
      <c r="Q33" s="366"/>
      <c r="R33" s="423"/>
      <c r="S33" s="423"/>
      <c r="T33" s="366"/>
      <c r="U33" s="366"/>
      <c r="V33" s="366"/>
      <c r="W33" s="366"/>
      <c r="X33" s="366"/>
      <c r="Y33" s="368"/>
    </row>
    <row r="34" spans="1:25" ht="16" thickBot="1">
      <c r="A34" s="668" t="s">
        <v>207</v>
      </c>
      <c r="B34" s="668"/>
      <c r="C34" s="465">
        <v>156</v>
      </c>
      <c r="D34" s="404"/>
      <c r="E34" s="404"/>
      <c r="F34" s="366"/>
      <c r="G34" s="404"/>
      <c r="H34" s="404"/>
      <c r="I34" s="535"/>
      <c r="J34" s="404"/>
      <c r="K34" s="404"/>
      <c r="L34" s="366"/>
      <c r="M34" s="366"/>
      <c r="N34" s="366"/>
      <c r="O34" s="366"/>
      <c r="P34" s="366"/>
      <c r="Q34" s="366"/>
      <c r="R34" s="423"/>
      <c r="S34" s="423"/>
      <c r="T34" s="366"/>
      <c r="U34" s="366"/>
      <c r="V34" s="366"/>
      <c r="W34" s="366"/>
      <c r="X34" s="366"/>
      <c r="Y34" s="368"/>
    </row>
    <row r="35" spans="1:25">
      <c r="A35" s="367"/>
      <c r="B35" s="367"/>
      <c r="C35" s="536">
        <f>C33/C34</f>
        <v>1.7778846153846151</v>
      </c>
      <c r="D35" s="447"/>
      <c r="E35" s="447" t="s">
        <v>256</v>
      </c>
      <c r="F35" s="367"/>
      <c r="G35" s="447"/>
      <c r="H35" s="447"/>
      <c r="I35" s="537"/>
      <c r="J35" s="447"/>
      <c r="K35" s="447"/>
      <c r="L35" s="367"/>
      <c r="M35" s="367"/>
      <c r="N35" s="367"/>
      <c r="O35" s="367"/>
      <c r="P35" s="367"/>
      <c r="Q35" s="367"/>
      <c r="R35" s="466"/>
      <c r="S35" s="466"/>
      <c r="T35" s="367"/>
      <c r="U35" s="367"/>
      <c r="V35" s="367"/>
      <c r="W35" s="367"/>
      <c r="X35" s="367"/>
      <c r="Y35" s="368"/>
    </row>
    <row r="36" spans="1:25">
      <c r="A36" s="368"/>
      <c r="B36" s="368"/>
      <c r="C36" s="368"/>
      <c r="D36" s="401"/>
      <c r="E36" s="401"/>
      <c r="F36" s="368"/>
      <c r="G36" s="401"/>
      <c r="H36" s="368"/>
      <c r="I36" s="530"/>
      <c r="J36" s="368"/>
      <c r="K36" s="368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</row>
    <row r="37" spans="1:25">
      <c r="A37" s="368"/>
      <c r="B37" s="368"/>
      <c r="C37" s="368"/>
      <c r="D37" s="401"/>
      <c r="E37" s="401"/>
      <c r="F37" s="368"/>
      <c r="G37" s="401"/>
      <c r="H37" s="368"/>
      <c r="I37" s="530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</row>
    <row r="38" spans="1:25">
      <c r="A38" s="368"/>
      <c r="B38" s="368"/>
      <c r="C38" s="368"/>
      <c r="D38" s="401"/>
      <c r="E38" s="401"/>
      <c r="F38" s="368"/>
      <c r="G38" s="454">
        <f>E29/G29</f>
        <v>3.3757749077490771</v>
      </c>
      <c r="H38" s="368"/>
      <c r="I38" s="530"/>
      <c r="J38" s="368"/>
      <c r="K38" s="368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</row>
    <row r="39" spans="1:25">
      <c r="A39" s="368"/>
      <c r="B39" s="368"/>
      <c r="C39" s="368"/>
      <c r="D39" s="401"/>
      <c r="E39" s="401"/>
      <c r="F39" s="368"/>
      <c r="G39" s="401"/>
      <c r="H39" s="368"/>
      <c r="I39" s="530"/>
      <c r="J39" s="368"/>
      <c r="K39" s="368"/>
      <c r="L39" s="368"/>
      <c r="M39" s="368"/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</row>
    <row r="40" spans="1:25">
      <c r="A40" s="368"/>
      <c r="B40" s="368"/>
      <c r="C40" s="368"/>
      <c r="D40" s="401"/>
      <c r="E40" s="401"/>
      <c r="F40" s="368"/>
      <c r="G40" s="401"/>
      <c r="H40" s="368"/>
      <c r="I40" s="530"/>
      <c r="J40" s="368"/>
      <c r="K40" s="368"/>
      <c r="L40" s="368"/>
      <c r="M40" s="368"/>
      <c r="N40" s="368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</row>
    <row r="41" spans="1:25">
      <c r="A41" s="368"/>
      <c r="B41" s="368"/>
      <c r="C41" s="368"/>
      <c r="D41" s="401"/>
      <c r="E41" s="401"/>
      <c r="F41" s="368"/>
      <c r="G41" s="401"/>
      <c r="H41" s="368"/>
      <c r="I41" s="530"/>
      <c r="J41" s="368"/>
      <c r="K41" s="368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</row>
    <row r="42" spans="1:25">
      <c r="A42" s="368"/>
      <c r="B42" s="368" t="s">
        <v>742</v>
      </c>
      <c r="C42" s="538">
        <f>AC18</f>
        <v>0</v>
      </c>
      <c r="D42" s="401"/>
      <c r="E42" s="401"/>
      <c r="F42" s="368"/>
      <c r="G42" s="401">
        <f>2.67668*1.07</f>
        <v>2.8640476000000001</v>
      </c>
      <c r="H42" s="368"/>
      <c r="I42" s="530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</row>
    <row r="43" spans="1:25">
      <c r="A43" s="368"/>
      <c r="B43" s="368"/>
      <c r="C43" s="368"/>
      <c r="D43" s="401"/>
      <c r="E43" s="401"/>
      <c r="F43" s="368"/>
      <c r="G43" s="401"/>
      <c r="H43" s="368"/>
      <c r="I43" s="530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</row>
    <row r="44" spans="1:25">
      <c r="A44" s="368"/>
      <c r="B44" s="368"/>
      <c r="C44" s="368"/>
      <c r="D44" s="401"/>
      <c r="E44" s="401"/>
      <c r="F44" s="368"/>
      <c r="G44" s="401"/>
      <c r="H44" s="368"/>
      <c r="I44" s="530"/>
      <c r="J44" s="368"/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</row>
    <row r="45" spans="1:25">
      <c r="A45" s="368"/>
      <c r="B45" s="368"/>
      <c r="C45" s="368"/>
      <c r="D45" s="401"/>
      <c r="E45" s="401"/>
      <c r="F45" s="368"/>
      <c r="G45" s="401"/>
      <c r="H45" s="368"/>
      <c r="I45" s="530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</row>
    <row r="46" spans="1:25">
      <c r="A46" s="368"/>
      <c r="B46" s="368"/>
      <c r="C46" s="368"/>
      <c r="D46" s="401"/>
      <c r="E46" s="401"/>
      <c r="F46" s="368"/>
      <c r="G46" s="401"/>
      <c r="H46" s="368"/>
      <c r="I46" s="530"/>
      <c r="J46" s="368"/>
      <c r="K46" s="368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</row>
    <row r="47" spans="1:25">
      <c r="A47" s="368"/>
      <c r="B47" s="368"/>
      <c r="C47" s="368"/>
      <c r="D47" s="401"/>
      <c r="E47" s="401"/>
      <c r="F47" s="368"/>
      <c r="G47" s="401"/>
      <c r="H47" s="368"/>
      <c r="I47" s="530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</row>
    <row r="48" spans="1:25">
      <c r="A48" s="368"/>
      <c r="B48" s="368"/>
      <c r="C48" s="368"/>
      <c r="D48" s="401"/>
      <c r="E48" s="401"/>
      <c r="F48" s="368"/>
      <c r="G48" s="401"/>
      <c r="H48" s="368"/>
      <c r="I48" s="530"/>
      <c r="J48" s="368"/>
      <c r="K48" s="368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</row>
    <row r="49" spans="1:25" ht="16" thickBot="1">
      <c r="A49" s="540"/>
      <c r="B49" s="540"/>
      <c r="C49" s="540"/>
      <c r="D49" s="541"/>
      <c r="E49" s="541"/>
      <c r="F49" s="540"/>
      <c r="G49" s="541"/>
      <c r="H49" s="540"/>
      <c r="I49" s="542"/>
      <c r="J49" s="368"/>
      <c r="K49" s="368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</row>
    <row r="50" spans="1:25">
      <c r="A50" s="368"/>
      <c r="B50" s="368"/>
      <c r="C50" s="368"/>
      <c r="D50" s="401"/>
      <c r="E50" s="401"/>
      <c r="F50" s="368"/>
      <c r="G50" s="401"/>
      <c r="H50" s="368"/>
      <c r="I50" s="368"/>
      <c r="J50" s="368"/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</row>
    <row r="51" spans="1:25">
      <c r="A51" s="368"/>
      <c r="B51" s="368"/>
      <c r="C51" s="368"/>
      <c r="D51" s="401"/>
      <c r="E51" s="401"/>
      <c r="F51" s="368"/>
      <c r="G51" s="401"/>
      <c r="H51" s="368"/>
      <c r="I51" s="368"/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</row>
    <row r="52" spans="1:25">
      <c r="A52" s="368"/>
      <c r="B52" s="368"/>
      <c r="C52" s="368"/>
      <c r="D52" s="401"/>
      <c r="E52" s="401"/>
      <c r="F52" s="368"/>
      <c r="G52" s="401"/>
      <c r="H52" s="368"/>
      <c r="I52" s="36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</row>
    <row r="53" spans="1:25">
      <c r="A53" s="368"/>
      <c r="B53" s="368"/>
      <c r="C53" s="368"/>
      <c r="D53" s="401"/>
      <c r="E53" s="401"/>
      <c r="F53" s="368"/>
      <c r="G53" s="401"/>
      <c r="H53" s="368"/>
      <c r="I53" s="368"/>
      <c r="J53" s="368"/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</row>
  </sheetData>
  <mergeCells count="6">
    <mergeCell ref="A1:Y1"/>
    <mergeCell ref="A32:I32"/>
    <mergeCell ref="A34:B34"/>
    <mergeCell ref="A5:A7"/>
    <mergeCell ref="A9:A11"/>
    <mergeCell ref="A16:A17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68"/>
  <sheetViews>
    <sheetView topLeftCell="B1" workbookViewId="0">
      <selection activeCell="B1" sqref="A1:XFD1048576"/>
    </sheetView>
  </sheetViews>
  <sheetFormatPr baseColWidth="10" defaultRowHeight="15"/>
  <cols>
    <col min="1" max="1" width="21.83203125" customWidth="1"/>
    <col min="2" max="2" width="38.33203125" bestFit="1" customWidth="1"/>
    <col min="3" max="3" width="25.33203125" customWidth="1"/>
    <col min="4" max="4" width="9.1640625" customWidth="1"/>
    <col min="5" max="5" width="12.1640625" bestFit="1" customWidth="1"/>
    <col min="7" max="7" width="11.5" style="91"/>
    <col min="10" max="10" width="4.5" customWidth="1"/>
    <col min="15" max="15" width="13.1640625" customWidth="1"/>
    <col min="17" max="17" width="11.83203125" bestFit="1" customWidth="1"/>
    <col min="18" max="18" width="12.5" customWidth="1"/>
    <col min="20" max="20" width="13.33203125" customWidth="1"/>
  </cols>
  <sheetData>
    <row r="1" spans="1:25" ht="40.5" customHeight="1">
      <c r="A1" s="669" t="s">
        <v>939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</row>
    <row r="2" spans="1:25" ht="16" thickBot="1">
      <c r="A2" s="369"/>
      <c r="B2" s="369"/>
      <c r="C2" s="369"/>
      <c r="D2" s="370"/>
      <c r="E2" s="370"/>
      <c r="F2" s="369"/>
      <c r="G2" s="370"/>
      <c r="H2" s="370"/>
      <c r="I2" s="370">
        <v>38.630000000000003</v>
      </c>
      <c r="J2" s="370"/>
      <c r="K2" s="370"/>
      <c r="L2" s="369"/>
      <c r="M2" s="369"/>
      <c r="N2" s="369"/>
      <c r="O2" s="369"/>
      <c r="P2" s="369"/>
      <c r="Q2" s="369"/>
      <c r="R2" s="371"/>
      <c r="S2" s="371"/>
      <c r="T2" s="369"/>
      <c r="U2" s="369"/>
      <c r="V2" s="369"/>
      <c r="W2" s="369"/>
      <c r="X2" s="369"/>
      <c r="Y2" s="369"/>
    </row>
    <row r="3" spans="1:25" ht="98">
      <c r="A3" s="353" t="s">
        <v>736</v>
      </c>
      <c r="B3" s="354"/>
      <c r="C3" s="354" t="s">
        <v>185</v>
      </c>
      <c r="D3" s="354" t="s">
        <v>186</v>
      </c>
      <c r="E3" s="354" t="s">
        <v>187</v>
      </c>
      <c r="F3" s="354" t="s">
        <v>188</v>
      </c>
      <c r="G3" s="354" t="s">
        <v>189</v>
      </c>
      <c r="H3" s="355" t="s">
        <v>936</v>
      </c>
      <c r="I3" s="354" t="s">
        <v>190</v>
      </c>
      <c r="J3" s="354"/>
      <c r="K3" s="354" t="s">
        <v>652</v>
      </c>
      <c r="L3" s="354" t="s">
        <v>655</v>
      </c>
      <c r="M3" s="355" t="s">
        <v>656</v>
      </c>
      <c r="N3" s="355" t="s">
        <v>944</v>
      </c>
      <c r="O3" s="354" t="s">
        <v>192</v>
      </c>
      <c r="P3" s="355" t="s">
        <v>658</v>
      </c>
      <c r="Q3" s="354" t="s">
        <v>193</v>
      </c>
      <c r="R3" s="354" t="s">
        <v>657</v>
      </c>
      <c r="S3" s="356" t="s">
        <v>654</v>
      </c>
      <c r="T3" s="296" t="s">
        <v>195</v>
      </c>
      <c r="U3" s="7" t="s">
        <v>196</v>
      </c>
      <c r="V3" s="7" t="s">
        <v>654</v>
      </c>
      <c r="W3" s="7" t="s">
        <v>653</v>
      </c>
      <c r="X3" s="57" t="s">
        <v>197</v>
      </c>
      <c r="Y3" s="7" t="s">
        <v>198</v>
      </c>
    </row>
    <row r="4" spans="1:25" ht="54" customHeight="1" thickBot="1">
      <c r="A4" s="230"/>
      <c r="B4" s="379"/>
      <c r="C4" s="21"/>
      <c r="D4" s="447"/>
      <c r="E4" s="447"/>
      <c r="F4" s="367"/>
      <c r="G4" s="447"/>
      <c r="H4" s="36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32"/>
      <c r="W4" s="232"/>
      <c r="X4" s="231"/>
      <c r="Y4" s="231"/>
    </row>
    <row r="5" spans="1:25" s="110" customFormat="1">
      <c r="A5" s="670" t="s">
        <v>154</v>
      </c>
      <c r="B5" s="595" t="s">
        <v>934</v>
      </c>
      <c r="C5" s="596" t="s">
        <v>935</v>
      </c>
      <c r="D5" s="597">
        <f>365+30</f>
        <v>395</v>
      </c>
      <c r="E5" s="598">
        <v>2972</v>
      </c>
      <c r="F5" s="598">
        <v>3668</v>
      </c>
      <c r="G5" s="599">
        <f>F5-E5</f>
        <v>696</v>
      </c>
      <c r="H5" s="600"/>
      <c r="I5" s="596">
        <f>(((53.92+38.63)/365)*D5)</f>
        <v>100.1568493150685</v>
      </c>
      <c r="J5" s="596"/>
      <c r="K5" s="596">
        <v>1.07</v>
      </c>
      <c r="L5" s="596">
        <f>ROUND(1.07*I5,2)</f>
        <v>107.17</v>
      </c>
      <c r="M5" s="601"/>
      <c r="N5" s="596">
        <v>2.98</v>
      </c>
      <c r="O5" s="596">
        <f>G5*N5</f>
        <v>2074.08</v>
      </c>
      <c r="P5" s="596"/>
      <c r="Q5" s="596">
        <f>O5*K5</f>
        <v>2219.2656000000002</v>
      </c>
      <c r="R5" s="596">
        <f>L5+Q5</f>
        <v>2326.4356000000002</v>
      </c>
      <c r="S5" s="596"/>
      <c r="T5" s="602"/>
      <c r="U5" s="560"/>
      <c r="V5" s="561"/>
      <c r="W5" s="20"/>
      <c r="X5" s="21"/>
      <c r="Y5" s="21"/>
    </row>
    <row r="6" spans="1:25" s="110" customFormat="1" ht="16" thickBot="1">
      <c r="A6" s="671"/>
      <c r="B6" s="565"/>
      <c r="C6" s="560"/>
      <c r="D6" s="566"/>
      <c r="E6" s="567"/>
      <c r="F6" s="567"/>
      <c r="G6" s="566"/>
      <c r="H6" s="565"/>
      <c r="I6" s="560"/>
      <c r="J6" s="560"/>
      <c r="K6" s="560"/>
      <c r="L6" s="560"/>
      <c r="M6" s="560"/>
      <c r="N6" s="560"/>
      <c r="O6" s="560"/>
      <c r="P6" s="562"/>
      <c r="Q6" s="560"/>
      <c r="R6" s="560"/>
      <c r="S6" s="560"/>
      <c r="T6" s="603"/>
      <c r="U6" s="560"/>
      <c r="V6" s="561"/>
      <c r="W6" s="20"/>
      <c r="X6" s="21"/>
      <c r="Y6" s="21"/>
    </row>
    <row r="7" spans="1:25" s="110" customFormat="1" ht="16" thickBot="1">
      <c r="A7" s="671"/>
      <c r="B7" s="568" t="s">
        <v>940</v>
      </c>
      <c r="C7" s="560"/>
      <c r="D7" s="569">
        <f>SUM(D5:D6)</f>
        <v>395</v>
      </c>
      <c r="E7" s="566"/>
      <c r="F7" s="565"/>
      <c r="G7" s="651">
        <f>SUM(G5:G6)</f>
        <v>696</v>
      </c>
      <c r="H7" s="565"/>
      <c r="I7" s="563">
        <f>SUM(I5:I6)</f>
        <v>100.1568493150685</v>
      </c>
      <c r="J7" s="560"/>
      <c r="K7" s="560"/>
      <c r="L7" s="652">
        <f>SUM(L5:L6)</f>
        <v>107.17</v>
      </c>
      <c r="M7" s="560"/>
      <c r="N7" s="560"/>
      <c r="O7" s="563">
        <f>SUM(O5:O6)</f>
        <v>2074.08</v>
      </c>
      <c r="P7" s="560"/>
      <c r="Q7" s="575"/>
      <c r="R7" s="574">
        <f>SUM(R5:R6)</f>
        <v>2326.4356000000002</v>
      </c>
      <c r="S7" s="560"/>
      <c r="T7" s="604"/>
      <c r="U7" s="560"/>
      <c r="V7" s="561"/>
      <c r="W7" s="20"/>
      <c r="X7" s="21"/>
      <c r="Y7" s="21"/>
    </row>
    <row r="8" spans="1:25">
      <c r="A8" s="605"/>
      <c r="B8" s="379"/>
      <c r="C8" s="21"/>
      <c r="D8" s="447"/>
      <c r="E8" s="447"/>
      <c r="F8" s="367"/>
      <c r="G8" s="447"/>
      <c r="H8" s="367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606"/>
      <c r="U8" s="21"/>
      <c r="V8" s="232"/>
      <c r="W8" s="232"/>
      <c r="X8" s="231"/>
      <c r="Y8" s="231"/>
    </row>
    <row r="9" spans="1:25" s="110" customFormat="1">
      <c r="A9" s="672" t="s">
        <v>154</v>
      </c>
      <c r="B9" s="607" t="s">
        <v>845</v>
      </c>
      <c r="C9" s="608" t="s">
        <v>844</v>
      </c>
      <c r="D9" s="609">
        <f>76+224+22</f>
        <v>322</v>
      </c>
      <c r="E9" s="610">
        <v>2324</v>
      </c>
      <c r="F9" s="610">
        <v>2858</v>
      </c>
      <c r="G9" s="611">
        <f>F9-E9</f>
        <v>534</v>
      </c>
      <c r="H9" s="607">
        <v>130.96</v>
      </c>
      <c r="I9" s="608">
        <f>((130.96/365)*D9)</f>
        <v>115.53183561643837</v>
      </c>
      <c r="J9" s="608"/>
      <c r="K9" s="608">
        <v>1.07</v>
      </c>
      <c r="L9" s="608">
        <f>ROUND(1.07*I9,2)</f>
        <v>123.62</v>
      </c>
      <c r="M9" s="608">
        <f>(26.87+80.87+7.89)*1.07</f>
        <v>123.72410000000002</v>
      </c>
      <c r="N9" s="608">
        <v>271.58879999999999</v>
      </c>
      <c r="O9" s="608">
        <f>G9*2.715888</f>
        <v>1450.2841920000001</v>
      </c>
      <c r="P9" s="608">
        <f>342.62+1004.88+97.77</f>
        <v>1445.27</v>
      </c>
      <c r="Q9" s="608">
        <f>ROUND(1.07*P9,2)</f>
        <v>1546.44</v>
      </c>
      <c r="R9" s="608">
        <f>L9+Q9</f>
        <v>1670.06</v>
      </c>
      <c r="S9" s="608"/>
      <c r="T9" s="612">
        <v>1669.63</v>
      </c>
      <c r="U9" s="560"/>
      <c r="V9" s="561"/>
      <c r="W9" s="20"/>
      <c r="X9" s="21"/>
      <c r="Y9" s="21"/>
    </row>
    <row r="10" spans="1:25" s="110" customFormat="1" ht="16" thickBot="1">
      <c r="A10" s="672"/>
      <c r="B10" s="607" t="s">
        <v>842</v>
      </c>
      <c r="C10" s="608" t="s">
        <v>843</v>
      </c>
      <c r="D10" s="609">
        <f>50+2</f>
        <v>52</v>
      </c>
      <c r="E10" s="610">
        <v>2858</v>
      </c>
      <c r="F10" s="610">
        <v>2972</v>
      </c>
      <c r="G10" s="609">
        <f>F10-E10</f>
        <v>114</v>
      </c>
      <c r="H10" s="607">
        <v>130.96</v>
      </c>
      <c r="I10" s="608">
        <f>((130.96/365)*D10)</f>
        <v>18.657315068493155</v>
      </c>
      <c r="J10" s="608"/>
      <c r="K10" s="608">
        <v>1.07</v>
      </c>
      <c r="L10" s="608">
        <f>ROUND(1.07*I10,2)</f>
        <v>19.96</v>
      </c>
      <c r="M10" s="608">
        <v>23.03</v>
      </c>
      <c r="N10" s="608">
        <v>271.58879999999999</v>
      </c>
      <c r="O10" s="608">
        <f>G10*2.715888</f>
        <v>309.61123200000003</v>
      </c>
      <c r="P10" s="608">
        <f>(309.61+1.14)*1.07</f>
        <v>332.5025</v>
      </c>
      <c r="Q10" s="608">
        <f t="shared" ref="Q10" si="0">ROUND(1.07*O10,2)</f>
        <v>331.28</v>
      </c>
      <c r="R10" s="608">
        <f>L10+Q10</f>
        <v>351.23999999999995</v>
      </c>
      <c r="S10" s="608"/>
      <c r="T10" s="612">
        <v>352.08</v>
      </c>
      <c r="U10" s="560"/>
      <c r="V10" s="561"/>
      <c r="W10" s="20"/>
      <c r="X10" s="21"/>
      <c r="Y10" s="21"/>
    </row>
    <row r="11" spans="1:25" s="110" customFormat="1" ht="16" thickBot="1">
      <c r="A11" s="672"/>
      <c r="B11" s="568" t="s">
        <v>941</v>
      </c>
      <c r="C11" s="560"/>
      <c r="D11" s="569">
        <f>SUM(D9:D10)</f>
        <v>374</v>
      </c>
      <c r="E11" s="566"/>
      <c r="F11" s="565"/>
      <c r="G11" s="655">
        <f>SUM(G9:G10)</f>
        <v>648</v>
      </c>
      <c r="H11" s="565"/>
      <c r="I11" s="563">
        <f>SUM(I9:I10)</f>
        <v>134.18915068493152</v>
      </c>
      <c r="J11" s="560"/>
      <c r="K11" s="560"/>
      <c r="L11" s="563">
        <f>SUM(L9:L10)</f>
        <v>143.58000000000001</v>
      </c>
      <c r="M11" s="560"/>
      <c r="N11" s="560"/>
      <c r="O11" s="563">
        <f>SUM(O9:O10)</f>
        <v>1759.895424</v>
      </c>
      <c r="P11" s="560"/>
      <c r="Q11" s="575">
        <f>SUM(Q9:Q10)</f>
        <v>1877.72</v>
      </c>
      <c r="R11" s="649">
        <f>SUM(R9:R10)</f>
        <v>2021.3</v>
      </c>
      <c r="S11" s="560"/>
      <c r="T11" s="604">
        <f>SUM(T9:T10)</f>
        <v>2021.71</v>
      </c>
      <c r="U11" s="560"/>
      <c r="V11" s="561"/>
      <c r="W11" s="20"/>
      <c r="X11" s="21"/>
      <c r="Y11" s="21"/>
    </row>
    <row r="12" spans="1:25" ht="16" thickBot="1">
      <c r="A12" s="613"/>
      <c r="B12" s="614"/>
      <c r="C12" s="615"/>
      <c r="D12" s="616"/>
      <c r="E12" s="616"/>
      <c r="F12" s="617"/>
      <c r="G12" s="616"/>
      <c r="H12" s="617"/>
      <c r="I12" s="615"/>
      <c r="J12" s="615"/>
      <c r="K12" s="615"/>
      <c r="L12" s="615"/>
      <c r="M12" s="615"/>
      <c r="N12" s="615"/>
      <c r="O12" s="615"/>
      <c r="P12" s="615"/>
      <c r="Q12" s="615"/>
      <c r="R12" s="615"/>
      <c r="S12" s="615"/>
      <c r="T12" s="618"/>
      <c r="U12" s="21"/>
      <c r="V12" s="232"/>
      <c r="W12" s="232"/>
      <c r="X12" s="231"/>
      <c r="Y12" s="231"/>
    </row>
    <row r="13" spans="1:25" ht="16" thickBot="1">
      <c r="A13" s="230"/>
      <c r="B13" s="379"/>
      <c r="C13" s="21"/>
      <c r="D13" s="447"/>
      <c r="E13" s="447"/>
      <c r="F13" s="367"/>
      <c r="G13" s="447"/>
      <c r="H13" s="367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32"/>
      <c r="W13" s="232"/>
      <c r="X13" s="231"/>
      <c r="Y13" s="231"/>
    </row>
    <row r="14" spans="1:25" s="110" customFormat="1" ht="15.75" customHeight="1">
      <c r="A14" s="670" t="s">
        <v>311</v>
      </c>
      <c r="B14" s="595" t="s">
        <v>934</v>
      </c>
      <c r="C14" s="596" t="s">
        <v>937</v>
      </c>
      <c r="D14" s="597">
        <v>360</v>
      </c>
      <c r="E14" s="597">
        <v>2720</v>
      </c>
      <c r="F14" s="600">
        <v>3531</v>
      </c>
      <c r="G14" s="597">
        <f>F14-E14</f>
        <v>811</v>
      </c>
      <c r="H14" s="600"/>
      <c r="I14" s="596">
        <f>(((53.92+38.63)/365)*D14)</f>
        <v>91.282191780821933</v>
      </c>
      <c r="J14" s="596"/>
      <c r="K14" s="596">
        <v>1.07</v>
      </c>
      <c r="L14" s="596">
        <f>ROUND(1.07*I14,2)</f>
        <v>97.67</v>
      </c>
      <c r="M14" s="596"/>
      <c r="N14" s="596">
        <v>2.98</v>
      </c>
      <c r="O14" s="596">
        <f>G14*N14</f>
        <v>2416.7800000000002</v>
      </c>
      <c r="P14" s="596"/>
      <c r="Q14" s="596">
        <f>ROUND(1.07*O14,2)</f>
        <v>2585.9499999999998</v>
      </c>
      <c r="R14" s="596">
        <f>L14+Q14</f>
        <v>2683.62</v>
      </c>
      <c r="S14" s="596"/>
      <c r="T14" s="602"/>
      <c r="U14" s="560"/>
      <c r="V14" s="561"/>
      <c r="W14" s="20"/>
      <c r="X14" s="21"/>
      <c r="Y14" s="21"/>
    </row>
    <row r="15" spans="1:25" s="110" customFormat="1" ht="15" customHeight="1" thickBot="1">
      <c r="A15" s="671"/>
      <c r="B15" s="565"/>
      <c r="C15" s="560"/>
      <c r="D15" s="566"/>
      <c r="E15" s="566"/>
      <c r="F15" s="581"/>
      <c r="G15" s="566"/>
      <c r="H15" s="565"/>
      <c r="I15" s="560"/>
      <c r="J15" s="560"/>
      <c r="K15" s="560"/>
      <c r="L15" s="560"/>
      <c r="M15" s="560"/>
      <c r="N15" s="560"/>
      <c r="O15" s="560"/>
      <c r="P15" s="562"/>
      <c r="Q15" s="560"/>
      <c r="R15" s="560"/>
      <c r="S15" s="560"/>
      <c r="T15" s="620"/>
      <c r="U15" s="560"/>
      <c r="V15" s="561"/>
      <c r="W15" s="20"/>
      <c r="X15" s="21"/>
      <c r="Y15" s="21"/>
    </row>
    <row r="16" spans="1:25" s="110" customFormat="1" ht="16" thickBot="1">
      <c r="A16" s="671"/>
      <c r="B16" s="568" t="s">
        <v>942</v>
      </c>
      <c r="C16" s="560"/>
      <c r="D16" s="569">
        <f>SUM(D14:D15)</f>
        <v>360</v>
      </c>
      <c r="E16" s="566"/>
      <c r="F16" s="565"/>
      <c r="G16" s="653">
        <f>SUM(G14:G15)</f>
        <v>811</v>
      </c>
      <c r="H16" s="565"/>
      <c r="I16" s="563">
        <f>SUM(I14:I15)</f>
        <v>91.282191780821933</v>
      </c>
      <c r="J16" s="560"/>
      <c r="K16" s="560"/>
      <c r="L16" s="652">
        <f>SUM(L14:L15)</f>
        <v>97.67</v>
      </c>
      <c r="M16" s="560"/>
      <c r="N16" s="560"/>
      <c r="O16" s="563">
        <f>SUM(O14:O15)</f>
        <v>2416.7800000000002</v>
      </c>
      <c r="P16" s="560"/>
      <c r="Q16" s="575">
        <f>SUM(Q14:Q15)</f>
        <v>2585.9499999999998</v>
      </c>
      <c r="R16" s="576">
        <f>SUM(R14:R15)</f>
        <v>2683.62</v>
      </c>
      <c r="S16" s="560"/>
      <c r="T16" s="604"/>
      <c r="U16" s="560"/>
      <c r="V16" s="561"/>
      <c r="W16" s="20"/>
      <c r="X16" s="21"/>
      <c r="Y16" s="21"/>
    </row>
    <row r="17" spans="1:25">
      <c r="A17" s="605"/>
      <c r="B17" s="379"/>
      <c r="C17" s="21"/>
      <c r="D17" s="447"/>
      <c r="E17" s="582"/>
      <c r="F17" s="582"/>
      <c r="G17" s="583"/>
      <c r="H17" s="367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606"/>
      <c r="U17" s="21"/>
      <c r="V17" s="232"/>
      <c r="W17" s="232"/>
      <c r="X17" s="231"/>
      <c r="Y17" s="231"/>
    </row>
    <row r="18" spans="1:25" s="110" customFormat="1" ht="15.75" customHeight="1">
      <c r="A18" s="673" t="s">
        <v>311</v>
      </c>
      <c r="B18" s="607" t="s">
        <v>846</v>
      </c>
      <c r="C18" s="608" t="s">
        <v>849</v>
      </c>
      <c r="D18" s="609">
        <f>45+224+22</f>
        <v>291</v>
      </c>
      <c r="E18" s="609">
        <v>2102</v>
      </c>
      <c r="F18" s="607">
        <v>2657</v>
      </c>
      <c r="G18" s="609">
        <f>F18-E18</f>
        <v>555</v>
      </c>
      <c r="H18" s="607">
        <v>130.96</v>
      </c>
      <c r="I18" s="608">
        <f>((129.02/365)*D18)</f>
        <v>102.86252054794521</v>
      </c>
      <c r="J18" s="608"/>
      <c r="K18" s="608">
        <v>1.07</v>
      </c>
      <c r="L18" s="608">
        <f>ROUND(1.07*I18,2)</f>
        <v>110.06</v>
      </c>
      <c r="M18" s="608"/>
      <c r="N18" s="608">
        <v>271.58879999999999</v>
      </c>
      <c r="O18" s="608">
        <f>G18*2.715888</f>
        <v>1507.3178399999999</v>
      </c>
      <c r="P18" s="608">
        <f>230.19+1159.68+114.07</f>
        <v>1503.94</v>
      </c>
      <c r="Q18" s="608">
        <f>ROUND(1.07*O18,2)</f>
        <v>1612.83</v>
      </c>
      <c r="R18" s="608">
        <f>L18+Q18</f>
        <v>1722.8899999999999</v>
      </c>
      <c r="S18" s="608"/>
      <c r="T18" s="612"/>
      <c r="U18" s="560"/>
      <c r="V18" s="561"/>
      <c r="W18" s="20"/>
      <c r="X18" s="21"/>
      <c r="Y18" s="21"/>
    </row>
    <row r="19" spans="1:25" s="110" customFormat="1" ht="15" customHeight="1" thickBot="1">
      <c r="A19" s="673"/>
      <c r="B19" s="607" t="s">
        <v>848</v>
      </c>
      <c r="C19" s="608" t="s">
        <v>847</v>
      </c>
      <c r="D19" s="609">
        <f>30+27</f>
        <v>57</v>
      </c>
      <c r="E19" s="609">
        <v>2657</v>
      </c>
      <c r="F19" s="607">
        <v>2720</v>
      </c>
      <c r="G19" s="609">
        <f>F19-E19</f>
        <v>63</v>
      </c>
      <c r="H19" s="607">
        <v>130.96</v>
      </c>
      <c r="I19" s="608">
        <f>((129.02/365)*D19)</f>
        <v>20.148328767123289</v>
      </c>
      <c r="J19" s="608"/>
      <c r="K19" s="608">
        <v>1.07</v>
      </c>
      <c r="L19" s="608">
        <f>ROUND(1.07*I19,2)</f>
        <v>21.56</v>
      </c>
      <c r="M19" s="608"/>
      <c r="N19" s="608">
        <v>271.58879999999999</v>
      </c>
      <c r="O19" s="608">
        <f>G19*2.715888</f>
        <v>171.100944</v>
      </c>
      <c r="P19" s="608"/>
      <c r="Q19" s="608">
        <f>ROUND(1.07*O19,2)</f>
        <v>183.08</v>
      </c>
      <c r="R19" s="608">
        <f>L19+Q19</f>
        <v>204.64000000000001</v>
      </c>
      <c r="S19" s="608"/>
      <c r="T19" s="621"/>
      <c r="U19" s="560"/>
      <c r="V19" s="561"/>
      <c r="W19" s="20"/>
      <c r="X19" s="21"/>
      <c r="Y19" s="21"/>
    </row>
    <row r="20" spans="1:25" s="110" customFormat="1" ht="16" thickBot="1">
      <c r="A20" s="674"/>
      <c r="B20" s="622" t="s">
        <v>943</v>
      </c>
      <c r="C20" s="623"/>
      <c r="D20" s="624">
        <f>SUM(D18:D19)</f>
        <v>348</v>
      </c>
      <c r="E20" s="625"/>
      <c r="F20" s="626"/>
      <c r="G20" s="624">
        <f>SUM(G18:G19)</f>
        <v>618</v>
      </c>
      <c r="H20" s="626"/>
      <c r="I20" s="627">
        <f>SUM(I18:I19)</f>
        <v>123.0108493150685</v>
      </c>
      <c r="J20" s="623"/>
      <c r="K20" s="623"/>
      <c r="L20" s="627">
        <f>SUM(L18:L19)</f>
        <v>131.62</v>
      </c>
      <c r="M20" s="623"/>
      <c r="N20" s="623"/>
      <c r="O20" s="627">
        <f>SUM(O18:O19)</f>
        <v>1678.418784</v>
      </c>
      <c r="P20" s="623"/>
      <c r="Q20" s="628">
        <f>SUM(Q18:Q19)</f>
        <v>1795.9099999999999</v>
      </c>
      <c r="R20" s="619">
        <f>SUM(R18:R19)</f>
        <v>1927.53</v>
      </c>
      <c r="S20" s="623"/>
      <c r="T20" s="629"/>
      <c r="U20" s="560"/>
      <c r="V20" s="561"/>
      <c r="W20" s="20"/>
      <c r="X20" s="21"/>
      <c r="Y20" s="21"/>
    </row>
    <row r="21" spans="1:25" s="110" customFormat="1" ht="16" thickBot="1">
      <c r="A21" s="6"/>
      <c r="B21" s="565"/>
      <c r="C21" s="560"/>
      <c r="D21" s="566"/>
      <c r="E21" s="566"/>
      <c r="F21" s="565"/>
      <c r="G21" s="566"/>
      <c r="H21" s="565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1"/>
      <c r="W21" s="20"/>
      <c r="X21" s="21"/>
      <c r="Y21" s="21"/>
    </row>
    <row r="22" spans="1:25" s="110" customFormat="1">
      <c r="A22" s="6"/>
      <c r="B22" s="631" t="s">
        <v>934</v>
      </c>
      <c r="C22" s="596" t="s">
        <v>946</v>
      </c>
      <c r="D22" s="597">
        <f>14+30+31</f>
        <v>75</v>
      </c>
      <c r="E22" s="597">
        <v>15</v>
      </c>
      <c r="F22" s="600">
        <v>24</v>
      </c>
      <c r="G22" s="632">
        <f>F22-E22</f>
        <v>9</v>
      </c>
      <c r="H22" s="600"/>
      <c r="I22" s="596"/>
      <c r="J22" s="596"/>
      <c r="K22" s="596"/>
      <c r="L22" s="596"/>
      <c r="M22" s="596"/>
      <c r="N22" s="596"/>
      <c r="O22" s="596"/>
      <c r="P22" s="596"/>
      <c r="Q22" s="596"/>
      <c r="R22" s="596"/>
      <c r="S22" s="596"/>
      <c r="T22" s="602"/>
      <c r="U22" s="560"/>
      <c r="V22" s="561"/>
      <c r="W22" s="20"/>
      <c r="X22" s="21"/>
      <c r="Y22" s="21"/>
    </row>
    <row r="23" spans="1:25" s="110" customFormat="1" ht="16" thickBot="1">
      <c r="A23" s="6" t="s">
        <v>734</v>
      </c>
      <c r="B23" s="633" t="s">
        <v>945</v>
      </c>
      <c r="C23" s="560" t="s">
        <v>947</v>
      </c>
      <c r="D23" s="571">
        <v>304</v>
      </c>
      <c r="E23" s="566">
        <v>24</v>
      </c>
      <c r="F23" s="566">
        <v>31</v>
      </c>
      <c r="G23" s="571">
        <f>F23-E23</f>
        <v>7</v>
      </c>
      <c r="H23" s="565">
        <v>44.91</v>
      </c>
      <c r="I23" s="560">
        <f>((53.92/365)*D23)</f>
        <v>44.90871232876713</v>
      </c>
      <c r="J23" s="560"/>
      <c r="K23" s="634">
        <v>1.07</v>
      </c>
      <c r="L23" s="560">
        <f>ROUND(1.05*I23,2)</f>
        <v>47.15</v>
      </c>
      <c r="M23" s="560"/>
      <c r="N23" s="560">
        <v>2.9820000000000002</v>
      </c>
      <c r="O23" s="564">
        <f>G23*N23</f>
        <v>20.874000000000002</v>
      </c>
      <c r="P23" s="560">
        <v>20.87</v>
      </c>
      <c r="Q23" s="560">
        <f>ROUND(1.07*O23,2)</f>
        <v>22.34</v>
      </c>
      <c r="R23" s="560">
        <f>L23+Q23</f>
        <v>69.489999999999995</v>
      </c>
      <c r="S23" s="560"/>
      <c r="T23" s="635">
        <v>70.38</v>
      </c>
      <c r="U23" s="560"/>
      <c r="V23" s="561"/>
      <c r="W23" s="20"/>
      <c r="X23" s="21"/>
      <c r="Y23" s="21"/>
    </row>
    <row r="24" spans="1:25" ht="31" thickBot="1">
      <c r="A24" s="6"/>
      <c r="B24" s="636" t="s">
        <v>948</v>
      </c>
      <c r="C24" s="560"/>
      <c r="D24" s="630">
        <f>SUM(D22:D23)</f>
        <v>379</v>
      </c>
      <c r="E24" s="566">
        <v>15</v>
      </c>
      <c r="F24" s="573">
        <v>24</v>
      </c>
      <c r="G24" s="651">
        <f>F24-E24</f>
        <v>9</v>
      </c>
      <c r="H24" s="565"/>
      <c r="I24" s="170">
        <f>((53.92/365)*D24)</f>
        <v>55.988164383561653</v>
      </c>
      <c r="J24" s="560"/>
      <c r="K24" s="634">
        <v>1.07</v>
      </c>
      <c r="L24" s="654">
        <f>ROUND(1.05*I24,2)</f>
        <v>58.79</v>
      </c>
      <c r="M24" s="560"/>
      <c r="N24" s="560">
        <v>2.9820000000000002</v>
      </c>
      <c r="O24" s="560">
        <f>G24*N23</f>
        <v>26.838000000000001</v>
      </c>
      <c r="P24" s="562"/>
      <c r="Q24" s="560">
        <f>ROUND(1.07*O24,2)</f>
        <v>28.72</v>
      </c>
      <c r="R24" s="574">
        <f>L24+Q24</f>
        <v>87.509999999999991</v>
      </c>
      <c r="S24" s="560"/>
      <c r="T24" s="603"/>
    </row>
    <row r="25" spans="1:25">
      <c r="B25" s="2"/>
      <c r="T25" s="637"/>
    </row>
    <row r="26" spans="1:25">
      <c r="B26" s="2"/>
      <c r="T26" s="637"/>
    </row>
    <row r="27" spans="1:25" s="110" customFormat="1">
      <c r="A27" s="6"/>
      <c r="B27" s="638"/>
      <c r="C27" s="560"/>
      <c r="D27" s="566"/>
      <c r="E27" s="566"/>
      <c r="F27" s="565"/>
      <c r="G27" s="566"/>
      <c r="H27" s="565"/>
      <c r="I27" s="560"/>
      <c r="J27" s="560"/>
      <c r="K27" s="560"/>
      <c r="L27" s="560"/>
      <c r="M27" s="560"/>
      <c r="N27" s="560"/>
      <c r="O27" s="560"/>
      <c r="P27" s="560"/>
      <c r="Q27" s="560"/>
      <c r="R27" s="560"/>
      <c r="S27" s="560"/>
      <c r="T27" s="639"/>
      <c r="U27" s="560"/>
      <c r="V27" s="561"/>
      <c r="W27" s="20"/>
      <c r="X27" s="21"/>
      <c r="Y27" s="21"/>
    </row>
    <row r="28" spans="1:25" s="110" customFormat="1" ht="31" thickBot="1">
      <c r="A28" s="673" t="s">
        <v>734</v>
      </c>
      <c r="B28" s="633" t="s">
        <v>850</v>
      </c>
      <c r="C28" s="585" t="s">
        <v>735</v>
      </c>
      <c r="D28" s="588">
        <f>61+304</f>
        <v>365</v>
      </c>
      <c r="E28" s="589">
        <v>4</v>
      </c>
      <c r="F28" s="589">
        <v>13</v>
      </c>
      <c r="G28" s="588">
        <f>F28-E28</f>
        <v>9</v>
      </c>
      <c r="H28" s="590">
        <v>48.38</v>
      </c>
      <c r="I28" s="591">
        <f>((H28/365)*D28)</f>
        <v>48.38</v>
      </c>
      <c r="J28" s="591"/>
      <c r="K28" s="591">
        <v>1.07</v>
      </c>
      <c r="L28" s="591">
        <f>ROUND(1.05*I28,2)</f>
        <v>50.8</v>
      </c>
      <c r="M28" s="591"/>
      <c r="N28" s="591">
        <v>271.58879999999999</v>
      </c>
      <c r="O28" s="592">
        <f>G28*2.67668</f>
        <v>24.090120000000002</v>
      </c>
      <c r="P28" s="591">
        <f>5.27+18.74</f>
        <v>24.009999999999998</v>
      </c>
      <c r="Q28" s="591">
        <f t="shared" ref="Q28" si="1">ROUND(1.07*O28,2)</f>
        <v>25.78</v>
      </c>
      <c r="R28" s="591">
        <f>L28+Q28</f>
        <v>76.58</v>
      </c>
      <c r="S28" s="591"/>
      <c r="T28" s="640">
        <v>77.05</v>
      </c>
      <c r="U28" s="560"/>
      <c r="V28" s="561"/>
      <c r="W28" s="20"/>
      <c r="X28" s="21"/>
      <c r="Y28" s="21"/>
    </row>
    <row r="29" spans="1:25" s="110" customFormat="1" ht="16" thickBot="1">
      <c r="A29" s="673"/>
      <c r="B29" s="641" t="s">
        <v>852</v>
      </c>
      <c r="C29" s="642" t="s">
        <v>851</v>
      </c>
      <c r="D29" s="643">
        <v>365</v>
      </c>
      <c r="E29" s="643">
        <v>0.25</v>
      </c>
      <c r="F29" s="656">
        <v>15</v>
      </c>
      <c r="G29" s="643">
        <f>F29-E29</f>
        <v>14.75</v>
      </c>
      <c r="H29" s="657">
        <v>48.38</v>
      </c>
      <c r="I29" s="642">
        <f>((H29/365)*D29)</f>
        <v>48.38</v>
      </c>
      <c r="J29" s="642"/>
      <c r="K29" s="642">
        <v>1.07</v>
      </c>
      <c r="L29" s="642">
        <f>ROUND(1.05*I29,2)</f>
        <v>50.8</v>
      </c>
      <c r="M29" s="642"/>
      <c r="N29" s="642">
        <v>271.58800000000002</v>
      </c>
      <c r="O29" s="642">
        <f>G29*2.715888</f>
        <v>40.059348</v>
      </c>
      <c r="P29" s="644"/>
      <c r="Q29" s="642">
        <f>ROUND(1.07*O29,2)</f>
        <v>42.86</v>
      </c>
      <c r="R29" s="649">
        <f>L29+Q29</f>
        <v>93.66</v>
      </c>
      <c r="S29" s="642"/>
      <c r="T29" s="645"/>
      <c r="U29" s="560"/>
      <c r="V29" s="561"/>
      <c r="W29" s="20"/>
      <c r="X29" s="21"/>
      <c r="Y29" s="21"/>
    </row>
    <row r="30" spans="1:25" ht="16" thickBot="1">
      <c r="A30" s="674"/>
      <c r="B30" s="367"/>
      <c r="C30" s="21"/>
      <c r="D30" s="447"/>
      <c r="E30" s="447"/>
      <c r="F30" s="367"/>
      <c r="G30" s="447"/>
      <c r="H30" s="367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0"/>
      <c r="W30" s="20"/>
      <c r="X30" s="21"/>
      <c r="Y30" s="21"/>
    </row>
    <row r="31" spans="1:25" ht="57" thickBot="1">
      <c r="A31" s="665" t="s">
        <v>741</v>
      </c>
      <c r="B31" s="577" t="s">
        <v>636</v>
      </c>
      <c r="C31" s="555"/>
      <c r="D31" s="578"/>
      <c r="E31" s="577">
        <v>23.25</v>
      </c>
      <c r="F31" s="578">
        <v>27.099</v>
      </c>
      <c r="G31" s="579">
        <f>F31-E31</f>
        <v>3.8490000000000002</v>
      </c>
      <c r="H31" s="367"/>
      <c r="I31" s="21"/>
      <c r="J31" s="21"/>
      <c r="K31" s="21"/>
      <c r="L31" s="21"/>
      <c r="M31" s="21"/>
      <c r="N31" s="21"/>
      <c r="O31" s="21"/>
      <c r="P31" s="21"/>
      <c r="Q31" s="21"/>
      <c r="R31" s="593"/>
      <c r="S31" s="205" t="s">
        <v>949</v>
      </c>
      <c r="T31" s="21">
        <f>R7+R16+T23</f>
        <v>5080.4355999999998</v>
      </c>
      <c r="U31" s="21"/>
      <c r="V31" s="20"/>
      <c r="W31" s="20"/>
      <c r="X31" s="21"/>
      <c r="Y31" s="21"/>
    </row>
    <row r="32" spans="1:25">
      <c r="A32" s="665"/>
      <c r="B32" s="577" t="s">
        <v>740</v>
      </c>
      <c r="C32" s="555"/>
      <c r="D32" s="578"/>
      <c r="E32" s="578"/>
      <c r="F32" s="577">
        <v>6.62</v>
      </c>
      <c r="G32" s="578"/>
      <c r="H32" s="36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0"/>
      <c r="W32" s="20"/>
      <c r="X32" s="21"/>
      <c r="Y32" s="21"/>
    </row>
    <row r="33" spans="1:25" ht="17" thickBot="1">
      <c r="A33" s="646"/>
      <c r="B33" s="577" t="s">
        <v>636</v>
      </c>
      <c r="C33" s="555"/>
      <c r="D33" s="578"/>
      <c r="E33" s="577">
        <v>23.25</v>
      </c>
      <c r="F33" s="578">
        <v>27.099</v>
      </c>
      <c r="G33" s="579">
        <f>F33-E33</f>
        <v>3.8490000000000002</v>
      </c>
      <c r="H33" s="647">
        <v>7.8479999999999999</v>
      </c>
      <c r="I33" s="647">
        <v>17.085000000000001</v>
      </c>
      <c r="J33" s="648">
        <v>9.2370000000000001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0"/>
      <c r="W33" s="20"/>
      <c r="X33" s="21"/>
      <c r="Y33" s="21"/>
    </row>
    <row r="34" spans="1:25" ht="16" thickBot="1">
      <c r="A34" s="368"/>
      <c r="B34" s="368"/>
      <c r="C34" s="368"/>
      <c r="D34" s="401"/>
      <c r="E34" s="401"/>
      <c r="F34" s="368"/>
      <c r="G34" s="6"/>
      <c r="H34" s="6"/>
      <c r="I34" s="401"/>
      <c r="J34" s="401"/>
      <c r="K34" s="401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</row>
    <row r="35" spans="1:25" ht="84">
      <c r="A35" s="523"/>
      <c r="B35" s="523"/>
      <c r="C35" s="523"/>
      <c r="D35" s="524"/>
      <c r="E35" s="525" t="s">
        <v>682</v>
      </c>
      <c r="F35" s="523"/>
      <c r="G35" s="526" t="s">
        <v>950</v>
      </c>
      <c r="H35" s="526"/>
      <c r="I35" s="526" t="s">
        <v>951</v>
      </c>
      <c r="J35" s="401"/>
      <c r="K35" s="401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</row>
    <row r="36" spans="1:25">
      <c r="A36" s="368"/>
      <c r="B36" s="368"/>
      <c r="C36" s="368"/>
      <c r="D36" s="401"/>
      <c r="E36" s="401"/>
      <c r="F36" s="368"/>
      <c r="G36" s="6"/>
      <c r="H36" s="6"/>
      <c r="I36" s="529"/>
      <c r="J36" s="401"/>
      <c r="K36" s="401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</row>
    <row r="37" spans="1:25">
      <c r="A37" s="368"/>
      <c r="B37" s="368"/>
      <c r="C37" s="368"/>
      <c r="D37" s="401"/>
      <c r="E37" s="401"/>
      <c r="F37" s="368"/>
      <c r="G37" s="6"/>
      <c r="H37" s="6"/>
      <c r="I37" s="529"/>
      <c r="J37" s="401"/>
      <c r="K37" s="401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</row>
    <row r="38" spans="1:25">
      <c r="A38" s="368"/>
      <c r="B38" s="368"/>
      <c r="C38" s="459" t="s">
        <v>672</v>
      </c>
      <c r="D38" s="368"/>
      <c r="E38" s="344">
        <f>R7</f>
        <v>2326.4356000000002</v>
      </c>
      <c r="F38" s="368"/>
      <c r="G38" s="650">
        <f>G7</f>
        <v>696</v>
      </c>
      <c r="H38" s="519" t="s">
        <v>235</v>
      </c>
      <c r="I38" s="658" t="e">
        <f>'JR 2024-2025'!#REF!</f>
        <v>#REF!</v>
      </c>
      <c r="J38" s="401"/>
      <c r="K38" s="401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</row>
    <row r="39" spans="1:25">
      <c r="A39" s="368"/>
      <c r="B39" s="368"/>
      <c r="C39" s="368"/>
      <c r="D39" s="459"/>
      <c r="E39" s="459"/>
      <c r="F39" s="368"/>
      <c r="G39" s="401"/>
      <c r="H39" s="368"/>
      <c r="I39" s="530"/>
      <c r="J39" s="368"/>
      <c r="K39" s="368"/>
      <c r="L39" s="368"/>
      <c r="M39" s="368"/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</row>
    <row r="40" spans="1:25">
      <c r="A40" s="368"/>
      <c r="B40" s="368"/>
      <c r="C40" s="459" t="s">
        <v>673</v>
      </c>
      <c r="D40" s="368"/>
      <c r="E40" s="344">
        <f>R16</f>
        <v>2683.62</v>
      </c>
      <c r="F40" s="368"/>
      <c r="G40" s="557">
        <f>G16</f>
        <v>811</v>
      </c>
      <c r="H40" s="519" t="s">
        <v>235</v>
      </c>
      <c r="I40" s="658" t="e">
        <f>'JR 2024-2025'!#REF!</f>
        <v>#REF!</v>
      </c>
      <c r="J40" s="368"/>
      <c r="K40" s="368"/>
      <c r="L40" s="368"/>
      <c r="M40" s="368"/>
      <c r="N40" s="368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</row>
    <row r="41" spans="1:25">
      <c r="A41" s="368"/>
      <c r="B41" s="368"/>
      <c r="C41" s="368"/>
      <c r="D41" s="368"/>
      <c r="E41" s="368"/>
      <c r="F41" s="368"/>
      <c r="G41" s="401"/>
      <c r="H41" s="368"/>
      <c r="I41" s="658"/>
      <c r="J41" s="368"/>
      <c r="K41" s="368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</row>
    <row r="42" spans="1:25">
      <c r="A42" s="368"/>
      <c r="B42" s="368"/>
      <c r="C42" s="459" t="s">
        <v>856</v>
      </c>
      <c r="D42" s="368"/>
      <c r="E42" s="344">
        <f>R24</f>
        <v>87.509999999999991</v>
      </c>
      <c r="F42" s="368"/>
      <c r="G42" s="558">
        <f>G24</f>
        <v>9</v>
      </c>
      <c r="H42" s="519" t="s">
        <v>235</v>
      </c>
      <c r="I42" s="658" t="e">
        <f>'JR 2024-2025'!#REF!</f>
        <v>#REF!</v>
      </c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</row>
    <row r="43" spans="1:25" ht="16" thickBot="1">
      <c r="A43" s="368"/>
      <c r="B43" s="368"/>
      <c r="C43" s="368"/>
      <c r="D43" s="368"/>
      <c r="E43" s="368"/>
      <c r="F43" s="368"/>
      <c r="G43" s="401"/>
      <c r="H43" s="368"/>
      <c r="I43" s="658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</row>
    <row r="44" spans="1:25" ht="16" thickBot="1">
      <c r="A44" s="368"/>
      <c r="B44" s="538" t="e">
        <f>D44-E44</f>
        <v>#REF!</v>
      </c>
      <c r="C44" s="368"/>
      <c r="D44" s="533" t="e">
        <f>'JR 2024-2025'!#REF!</f>
        <v>#REF!</v>
      </c>
      <c r="E44" s="505">
        <f>SUM(E38:E43)</f>
        <v>5097.5655999999999</v>
      </c>
      <c r="F44" s="368"/>
      <c r="G44" s="559">
        <f>SUM(G38:G43)</f>
        <v>1516</v>
      </c>
      <c r="H44" s="368"/>
      <c r="I44" s="658" t="e">
        <f>SUM(I38:I43)</f>
        <v>#REF!</v>
      </c>
      <c r="J44" s="368"/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</row>
    <row r="45" spans="1:25">
      <c r="A45" s="368"/>
      <c r="B45" s="368"/>
      <c r="C45" s="368"/>
      <c r="D45" s="401"/>
      <c r="E45" s="401"/>
      <c r="F45" s="368"/>
      <c r="G45" s="401"/>
      <c r="H45" s="368"/>
      <c r="I45" s="530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</row>
    <row r="46" spans="1:25">
      <c r="A46" s="368"/>
      <c r="B46" s="368"/>
      <c r="C46" s="368"/>
      <c r="D46" s="401"/>
      <c r="E46" s="401"/>
      <c r="F46" s="368"/>
      <c r="G46" s="401"/>
      <c r="H46" s="368"/>
      <c r="I46" s="530"/>
      <c r="J46" s="368"/>
      <c r="K46" s="368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</row>
    <row r="47" spans="1:25">
      <c r="A47" s="666" t="s">
        <v>257</v>
      </c>
      <c r="B47" s="666"/>
      <c r="C47" s="666"/>
      <c r="D47" s="666"/>
      <c r="E47" s="666"/>
      <c r="F47" s="666"/>
      <c r="G47" s="666"/>
      <c r="H47" s="666"/>
      <c r="I47" s="667"/>
      <c r="J47" s="366"/>
      <c r="K47" s="366"/>
      <c r="L47" s="366"/>
      <c r="M47" s="366"/>
      <c r="N47" s="366"/>
      <c r="O47" s="366"/>
      <c r="P47" s="366"/>
      <c r="Q47" s="366"/>
      <c r="R47" s="366"/>
      <c r="S47" s="366"/>
      <c r="T47" s="366"/>
      <c r="U47" s="366"/>
      <c r="V47" s="366"/>
      <c r="W47" s="366"/>
      <c r="X47" s="366"/>
      <c r="Y47" s="368"/>
    </row>
    <row r="48" spans="1:25">
      <c r="A48" s="366"/>
      <c r="B48" s="366" t="s">
        <v>206</v>
      </c>
      <c r="C48" s="534">
        <f>L7+L16+L24</f>
        <v>263.63</v>
      </c>
      <c r="D48" s="404"/>
      <c r="E48" s="404"/>
      <c r="F48" s="366"/>
      <c r="G48" s="404"/>
      <c r="H48" s="404"/>
      <c r="I48" s="535"/>
      <c r="J48" s="404"/>
      <c r="K48" s="404"/>
      <c r="L48" s="366"/>
      <c r="M48" s="366"/>
      <c r="N48" s="366"/>
      <c r="O48" s="366"/>
      <c r="P48" s="366"/>
      <c r="Q48" s="366"/>
      <c r="R48" s="423"/>
      <c r="S48" s="423"/>
      <c r="T48" s="366"/>
      <c r="U48" s="366"/>
      <c r="V48" s="366"/>
      <c r="W48" s="366"/>
      <c r="X48" s="366"/>
      <c r="Y48" s="368"/>
    </row>
    <row r="49" spans="1:25" ht="16" thickBot="1">
      <c r="A49" s="668" t="s">
        <v>207</v>
      </c>
      <c r="B49" s="668"/>
      <c r="C49" s="465">
        <v>156</v>
      </c>
      <c r="D49" s="404"/>
      <c r="E49" s="404"/>
      <c r="F49" s="366"/>
      <c r="G49" s="404"/>
      <c r="H49" s="404"/>
      <c r="I49" s="535"/>
      <c r="J49" s="404"/>
      <c r="K49" s="404"/>
      <c r="L49" s="366"/>
      <c r="M49" s="366"/>
      <c r="N49" s="366"/>
      <c r="O49" s="366"/>
      <c r="P49" s="366"/>
      <c r="Q49" s="366"/>
      <c r="R49" s="423"/>
      <c r="S49" s="423"/>
      <c r="T49" s="366"/>
      <c r="U49" s="366"/>
      <c r="V49" s="366"/>
      <c r="W49" s="366"/>
      <c r="X49" s="366"/>
      <c r="Y49" s="368"/>
    </row>
    <row r="50" spans="1:25">
      <c r="A50" s="367"/>
      <c r="B50" s="367"/>
      <c r="C50" s="536">
        <f>C48/C49</f>
        <v>1.6899358974358973</v>
      </c>
      <c r="D50" s="447"/>
      <c r="E50" s="447" t="s">
        <v>256</v>
      </c>
      <c r="F50" s="367"/>
      <c r="G50" s="447"/>
      <c r="H50" s="447"/>
      <c r="I50" s="537"/>
      <c r="J50" s="447"/>
      <c r="K50" s="447"/>
      <c r="L50" s="367"/>
      <c r="M50" s="367"/>
      <c r="N50" s="367"/>
      <c r="O50" s="367"/>
      <c r="P50" s="367"/>
      <c r="Q50" s="367"/>
      <c r="R50" s="466"/>
      <c r="S50" s="466"/>
      <c r="T50" s="367"/>
      <c r="U50" s="367"/>
      <c r="V50" s="367"/>
      <c r="W50" s="367"/>
      <c r="X50" s="367"/>
      <c r="Y50" s="368"/>
    </row>
    <row r="51" spans="1:25">
      <c r="A51" s="368"/>
      <c r="B51" s="368"/>
      <c r="C51" s="368"/>
      <c r="D51" s="401"/>
      <c r="E51" s="401"/>
      <c r="F51" s="368"/>
      <c r="G51" s="401"/>
      <c r="H51" s="368"/>
      <c r="I51" s="530"/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</row>
    <row r="52" spans="1:25">
      <c r="A52" s="368"/>
      <c r="B52" s="368"/>
      <c r="C52" s="368"/>
      <c r="D52" s="401"/>
      <c r="E52" s="401"/>
      <c r="F52" s="368"/>
      <c r="G52" s="401"/>
      <c r="H52" s="368"/>
      <c r="I52" s="530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</row>
    <row r="53" spans="1:25">
      <c r="A53" s="368"/>
      <c r="B53" s="368"/>
      <c r="C53" s="368"/>
      <c r="D53" s="401"/>
      <c r="E53" s="401"/>
      <c r="F53" s="368"/>
      <c r="G53" s="454">
        <f>E44/G44</f>
        <v>3.3625102902374668</v>
      </c>
      <c r="H53" s="368"/>
      <c r="I53" s="530"/>
      <c r="J53" s="368"/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</row>
    <row r="54" spans="1:25">
      <c r="A54" s="368"/>
      <c r="B54" s="368"/>
      <c r="C54" s="368"/>
      <c r="D54" s="401"/>
      <c r="E54" s="401"/>
      <c r="F54" s="368"/>
      <c r="H54" s="368"/>
      <c r="I54" s="530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</row>
    <row r="55" spans="1:25">
      <c r="A55" s="368"/>
      <c r="B55" s="368"/>
      <c r="C55" s="368"/>
      <c r="D55" s="401"/>
      <c r="E55" s="401"/>
      <c r="F55" s="368"/>
      <c r="G55" s="401"/>
      <c r="H55" s="368"/>
      <c r="I55" s="530"/>
      <c r="J55" s="368"/>
      <c r="K55" s="368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</row>
    <row r="56" spans="1:25">
      <c r="A56" s="368"/>
      <c r="B56" s="368"/>
      <c r="C56" s="368"/>
      <c r="D56" s="401"/>
      <c r="E56" s="401"/>
      <c r="F56" s="368"/>
      <c r="G56" s="401"/>
      <c r="H56" s="368"/>
      <c r="I56" s="530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</row>
    <row r="57" spans="1:25">
      <c r="A57" s="368"/>
      <c r="B57" s="368" t="s">
        <v>952</v>
      </c>
      <c r="C57" s="538">
        <f>AC33</f>
        <v>0</v>
      </c>
      <c r="D57" s="401"/>
      <c r="E57" s="401"/>
      <c r="F57" s="368"/>
      <c r="G57" s="401">
        <f>2.982*1.07</f>
        <v>3.1907400000000004</v>
      </c>
      <c r="H57" s="368"/>
      <c r="I57" s="530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</row>
    <row r="58" spans="1:25">
      <c r="A58" s="368"/>
      <c r="B58" s="368"/>
      <c r="C58" s="368"/>
      <c r="D58" s="401"/>
      <c r="E58" s="401"/>
      <c r="F58" s="368"/>
      <c r="G58" s="401"/>
      <c r="H58" s="368"/>
      <c r="I58" s="530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</row>
    <row r="59" spans="1:25">
      <c r="A59" s="368"/>
      <c r="B59" s="368"/>
      <c r="C59" s="368"/>
      <c r="D59" s="401"/>
      <c r="E59" s="401"/>
      <c r="F59" s="368"/>
      <c r="G59" s="401"/>
      <c r="H59" s="368"/>
      <c r="I59" s="530"/>
      <c r="J59" s="368"/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</row>
    <row r="60" spans="1:25">
      <c r="A60" s="368"/>
      <c r="B60" s="368"/>
      <c r="C60" s="368"/>
      <c r="D60" s="401"/>
      <c r="E60" s="401"/>
      <c r="F60" s="368"/>
      <c r="G60" s="401"/>
      <c r="H60" s="368"/>
      <c r="I60" s="530"/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</row>
    <row r="61" spans="1:25">
      <c r="A61" s="368"/>
      <c r="B61" s="368"/>
      <c r="C61" s="368"/>
      <c r="D61" s="401"/>
      <c r="E61" s="401"/>
      <c r="F61" s="368"/>
      <c r="G61" s="401"/>
      <c r="H61" s="368"/>
      <c r="I61" s="530"/>
      <c r="J61" s="368"/>
      <c r="K61" s="368"/>
      <c r="L61" s="368"/>
      <c r="M61" s="368"/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</row>
    <row r="62" spans="1:25">
      <c r="A62" s="368"/>
      <c r="B62" s="368"/>
      <c r="C62" s="368"/>
      <c r="D62" s="401"/>
      <c r="E62" s="401"/>
      <c r="F62" s="368"/>
      <c r="G62" s="401"/>
      <c r="H62" s="368"/>
      <c r="I62" s="530"/>
      <c r="J62" s="368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</row>
    <row r="63" spans="1:25">
      <c r="A63" s="368"/>
      <c r="B63" s="368"/>
      <c r="C63" s="368"/>
      <c r="D63" s="401"/>
      <c r="E63" s="401"/>
      <c r="F63" s="368"/>
      <c r="G63" s="401"/>
      <c r="H63" s="368"/>
      <c r="I63" s="530"/>
      <c r="J63" s="368"/>
      <c r="K63" s="368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</row>
    <row r="64" spans="1:25" ht="16" thickBot="1">
      <c r="A64" s="540"/>
      <c r="B64" s="540"/>
      <c r="C64" s="540"/>
      <c r="D64" s="541"/>
      <c r="E64" s="541"/>
      <c r="F64" s="540"/>
      <c r="G64" s="541"/>
      <c r="H64" s="540"/>
      <c r="I64" s="542"/>
      <c r="J64" s="368"/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</row>
    <row r="65" spans="1:25">
      <c r="A65" s="368"/>
      <c r="B65" s="368"/>
      <c r="C65" s="368"/>
      <c r="D65" s="401"/>
      <c r="E65" s="401"/>
      <c r="F65" s="368"/>
      <c r="G65" s="401"/>
      <c r="H65" s="368"/>
      <c r="I65" s="368"/>
      <c r="J65" s="368"/>
      <c r="K65" s="368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</row>
    <row r="66" spans="1:25">
      <c r="A66" s="368"/>
      <c r="B66" s="368"/>
      <c r="C66" s="368"/>
      <c r="D66" s="401"/>
      <c r="E66" s="401"/>
      <c r="F66" s="368"/>
      <c r="G66" s="401"/>
      <c r="H66" s="368"/>
      <c r="I66" s="368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</row>
    <row r="67" spans="1:25">
      <c r="A67" s="368"/>
      <c r="B67" s="368"/>
      <c r="C67" s="368"/>
      <c r="D67" s="401"/>
      <c r="E67" s="401"/>
      <c r="F67" s="368"/>
      <c r="G67" s="401"/>
      <c r="H67" s="368"/>
      <c r="I67" s="368"/>
      <c r="J67" s="368"/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</row>
    <row r="68" spans="1:25">
      <c r="A68" s="368"/>
      <c r="B68" s="368"/>
      <c r="C68" s="368"/>
      <c r="D68" s="401"/>
      <c r="E68" s="401"/>
      <c r="F68" s="368"/>
      <c r="G68" s="401"/>
      <c r="H68" s="368"/>
      <c r="I68" s="368"/>
      <c r="J68" s="36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</row>
  </sheetData>
  <mergeCells count="9">
    <mergeCell ref="A49:B49"/>
    <mergeCell ref="A1:Y1"/>
    <mergeCell ref="A9:A11"/>
    <mergeCell ref="A18:A20"/>
    <mergeCell ref="A31:A32"/>
    <mergeCell ref="A47:I47"/>
    <mergeCell ref="A5:A7"/>
    <mergeCell ref="A14:A16"/>
    <mergeCell ref="A28:A30"/>
  </mergeCell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1</vt:i4>
      </vt:variant>
    </vt:vector>
  </HeadingPairs>
  <TitlesOfParts>
    <vt:vector size="13" baseType="lpstr">
      <vt:lpstr>JR 2024-2025</vt:lpstr>
      <vt:lpstr>ENBW 2024</vt:lpstr>
      <vt:lpstr>Tabelle4</vt:lpstr>
      <vt:lpstr>Ausrechnen Tage </vt:lpstr>
      <vt:lpstr>Tabelle1</vt:lpstr>
      <vt:lpstr>ENBW 2022</vt:lpstr>
      <vt:lpstr>ENBW 2018</vt:lpstr>
      <vt:lpstr>ENBW 2019</vt:lpstr>
      <vt:lpstr>ENBW 2020</vt:lpstr>
      <vt:lpstr>TAGE </vt:lpstr>
      <vt:lpstr>ENBW 2021</vt:lpstr>
      <vt:lpstr>ENBW 2023</vt:lpstr>
      <vt:lpstr>'JR 2024-2025'!Druckbereich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</dc:creator>
  <cp:lastModifiedBy>Sascha Theißen</cp:lastModifiedBy>
  <cp:lastPrinted>2024-02-09T17:05:35Z</cp:lastPrinted>
  <dcterms:created xsi:type="dcterms:W3CDTF">2013-12-23T21:29:44Z</dcterms:created>
  <dcterms:modified xsi:type="dcterms:W3CDTF">2025-08-04T15:18:42Z</dcterms:modified>
</cp:coreProperties>
</file>